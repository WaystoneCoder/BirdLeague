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deb5fc8df64a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nkteliste" sheetId="1" r:id="R14b12461d712433f"/>
    <x:sheet xmlns:r="http://schemas.openxmlformats.org/officeDocument/2006/relationships" name="Skala" sheetId="2" r:id="R0e8e2e1ee17b4d59"/>
    <x:sheet xmlns:r="http://schemas.openxmlformats.org/officeDocument/2006/relationships" name="Abgleich Finn" sheetId="3" r:id="R74ce6c4f22714d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A2C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22780647b247e5" /><Relationship Type="http://schemas.openxmlformats.org/officeDocument/2006/relationships/theme" Target="/xl/theme/theme1.xml" Id="R9ecd6c868f25483f" /><Relationship Type="http://schemas.openxmlformats.org/officeDocument/2006/relationships/sharedStrings" Target="/xl/sharedStrings.xml" Id="R549b26fce96b493a" /><Relationship Type="http://schemas.openxmlformats.org/officeDocument/2006/relationships/worksheet" Target="/xl/worksheets/sheet1.xml" Id="R14b12461d712433f" /><Relationship Type="http://schemas.openxmlformats.org/officeDocument/2006/relationships/worksheet" Target="/xl/worksheets/sheet2.xml" Id="R0e8e2e1ee17b4d59" /><Relationship Type="http://schemas.openxmlformats.org/officeDocument/2006/relationships/worksheet" Target="/xl/worksheets/sheet3.xml" Id="R74ce6c4f22714d2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ef3b267556a40b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Verteilung der Punktwerte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Anzahl Arten</c:v>
          </c:tx>
          <c:cat>
            <c:strRef>
              <c:f>'Abgleich Finn'!$H$92:$H$102</c:f>
              <c:strCache>
                <c:ptCount val="0"/>
              </c:strCache>
            </c:strRef>
          </c:cat>
          <c:val>
            <c:numRef>
              <c:f>'Abgleich Finn'!$I$92:$I$102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f3b267556a40b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irdLeaguePoints" displayName="BirdLeaguePoints" ref="A1:H88" headerRowCount="1" totalsRowCount="0" totalsRowShown="0">
  <x:tableColumns count="8">
    <x:tableColumn id="1" name="Deutscher Name"/>
    <x:tableColumn id="2" name="Wissenschaftlicher Name"/>
    <x:tableColumn id="3" name="Englischer Name"/>
    <x:tableColumn id="4" name="Punkte"/>
    <x:tableColumn id="5" name="Kategorie"/>
    <x:tableColumn id="6" name="Kurzbegründung"/>
    <x:tableColumn id="7" name="Referenzgebiet"/>
    <x:tableColumn id="8" name="Quel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irdLeagueScale" displayName="BirdLeagueScale" ref="A1:D12" headerRowCount="1" totalsRowCount="0" totalsRowShown="0">
  <x:tableColumns count="4">
    <x:tableColumn id="1" name="Punkte"/>
    <x:tableColumn id="2" name="Bedeutung"/>
    <x:tableColumn id="3" name="BirdLeague-Interpretation"/>
    <x:tableColumn id="4" name="Hinwei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nnSpeciesCheck" displayName="FinnSpeciesCheck" ref="A1:F88" headerRowCount="1" totalsRowCount="0" totalsRowShown="0">
  <x:tableColumns count="6">
    <x:tableColumn id="1" name="Deutscher Name"/>
    <x:tableColumn id="2" name="Wissenschaftlicher Name"/>
    <x:tableColumn id="3" name="Punkte"/>
    <x:tableColumn id="4" name="Erstfund 2026"/>
    <x:tableColumn id="5" name="Ort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e435f9fcc446c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9d31809f1fe48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bc5e3493c7c49c8" /><Relationship Type="http://schemas.openxmlformats.org/officeDocument/2006/relationships/table" Target="/xl/tables/table3.xml" Id="R765316537e494993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3" hidden="0" customWidth="1"/>
    <x:col min="4" max="4" width="9" hidden="0" customWidth="1"/>
    <x:col min="5" max="5" width="24" hidden="0" customWidth="1"/>
    <x:col min="6" max="6" width="52" hidden="0" customWidth="1"/>
    <x:col min="7" max="7" width="26" hidden="0" customWidth="1"/>
    <x:col min="8" max="8" width="44" hidden="0" customWidth="1"/>
  </x:cols>
  <x:sheetData>
    <x:row r="1">
      <x:c r="A1" s="8" t="str">
        <x:v>Deutscher Name</x:v>
      </x:c>
      <x:c r="B1" s="8" t="str">
        <x:v>Wissenschaftlicher Name</x:v>
      </x:c>
      <x:c r="C1" s="8" t="str">
        <x:v>Englischer Name</x:v>
      </x:c>
      <x:c r="D1" s="8" t="str">
        <x:v>Punkte</x:v>
      </x:c>
      <x:c r="E1" s="8" t="str">
        <x:v>Kategorie</x:v>
      </x:c>
      <x:c r="F1" s="8" t="str">
        <x:v>Kurzbegründung</x:v>
      </x:c>
      <x:c r="G1" s="8" t="str">
        <x:v>Referenzgebiet</x:v>
      </x:c>
      <x:c r="H1" s="8" t="str">
        <x:v>Quelle</x:v>
      </x:c>
    </x:row>
    <x:row r="2">
      <x:c r="A2" s="9" t="str">
        <x:v>Amsel</x:v>
      </x:c>
      <x:c r="B2" s="9" t="str">
        <x:v>Turdus merula</x:v>
      </x:c>
      <x:c r="C2" s="9" t="str">
        <x:v>Eurasian Blackbird</x:v>
      </x:c>
      <x:c r="D2" s="12" t="n">
        <x:v>1</x:v>
      </x:c>
      <x:c r="E2" s="9" t="str">
        <x:v>sehr häufig</x:v>
      </x:c>
      <x:c r="F2" s="9" t="str">
        <x:v>Sehr häufig und weit verbreitet; meist ohne gezielte Suche zu finden.</x:v>
      </x:c>
      <x:c r="G2" s="9" t="str">
        <x:v>Deutschland / Norddeutschland</x:v>
      </x:c>
      <x:c r="H2" s="9" t="str">
        <x:v>https://www.dda-web.de/aktuelles/meldungen/voegel-in-deutschland-bestandssituation-2025</x:v>
      </x:c>
    </x:row>
    <x:row r="3">
      <x:c r="A3" s="9" t="str">
        <x:v>Austernfischer</x:v>
      </x:c>
      <x:c r="B3" s="9" t="str">
        <x:v>Haematopus ostralegus</x:v>
      </x:c>
      <x:c r="C3" s="9" t="str">
        <x:v>Eurasian Oystercatcher</x:v>
      </x:c>
      <x:c r="D3" s="12" t="n">
        <x:v>3</x:v>
      </x:c>
      <x:c r="E3" s="9" t="str">
        <x:v>regelmäßig / lokal</x:v>
      </x:c>
      <x:c r="F3" s="9" t="str">
        <x:v>Regelmäßig, aber regional/lokal oder mit gezielterem Habitatbesuch.</x:v>
      </x:c>
      <x:c r="G3" s="9" t="str">
        <x:v>Deutschland / Norddeutschland</x:v>
      </x:c>
      <x:c r="H3" s="9" t="str">
        <x:v>https://www.dda-web.de/aktuelles/meldungen/voegel-in-deutschland-bestandssituation-2025</x:v>
      </x:c>
    </x:row>
    <x:row r="4">
      <x:c r="A4" s="9" t="str">
        <x:v>Bachstelze</x:v>
      </x:c>
      <x:c r="B4" s="9" t="str">
        <x:v>Motacilla alba</x:v>
      </x:c>
      <x:c r="C4" s="9" t="str">
        <x:v>White Wagtail</x:v>
      </x:c>
      <x:c r="D4" s="12" t="n">
        <x:v>1</x:v>
      </x:c>
      <x:c r="E4" s="9" t="str">
        <x:v>sehr häufig</x:v>
      </x:c>
      <x:c r="F4" s="9" t="str">
        <x:v>Sehr häufig und weit verbreitet; meist ohne gezielte Suche zu finden.</x:v>
      </x:c>
      <x:c r="G4" s="9" t="str">
        <x:v>Deutschland / Norddeutschland</x:v>
      </x:c>
      <x:c r="H4" s="9" t="str">
        <x:v>https://www.dda-web.de/aktuelles/meldungen/voegel-in-deutschland-bestandssituation-2025</x:v>
      </x:c>
    </x:row>
    <x:row r="5">
      <x:c r="A5" s="9" t="str">
        <x:v>Baumpieper</x:v>
      </x:c>
      <x:c r="B5" s="9" t="str">
        <x:v>Anthus trivialis</x:v>
      </x:c>
      <x:c r="C5" s="9" t="str">
        <x:v>Tree Pipit</x:v>
      </x:c>
      <x:c r="D5" s="12" t="n">
        <x:v>3</x:v>
      </x:c>
      <x:c r="E5" s="9" t="str">
        <x:v>regelmäßig / lokal</x:v>
      </x:c>
      <x:c r="F5" s="9" t="str">
        <x:v>Regelmäßig, aber regional/lokal oder mit gezielterem Habitatbesuch.</x:v>
      </x:c>
      <x:c r="G5" s="9" t="str">
        <x:v>Deutschland / Norddeutschland</x:v>
      </x:c>
      <x:c r="H5" s="9" t="str">
        <x:v>https://www.dda-web.de/aktuelles/meldungen/voegel-in-deutschland-bestandssituation-2025</x:v>
      </x:c>
    </x:row>
    <x:row r="6">
      <x:c r="A6" s="9" t="str">
        <x:v>Birkenzeisig</x:v>
      </x:c>
      <x:c r="B6" s="9" t="str">
        <x:v>Acanthis flammea</x:v>
      </x:c>
      <x:c r="C6" s="9" t="str">
        <x:v>Redpoll</x:v>
      </x:c>
      <x:c r="D6" s="12" t="n">
        <x:v>5</x:v>
      </x:c>
      <x:c r="E6" s="9" t="str">
        <x:v>ungewöhnlich</x:v>
      </x:c>
      <x:c r="F6" s="9" t="str">
        <x:v>In Deutschland stark saisonal/regional und in manchen Jahren deutlich leichter als in anderen.</x:v>
      </x:c>
      <x:c r="G6" s="9" t="str">
        <x:v>Deutschland / Norddeutschland</x:v>
      </x:c>
      <x:c r="H6" s="9" t="str">
        <x:v>https://www.dda-web.de/aktuelles/meldungen/voegel-in-deutschland-bestandssituation-2025</x:v>
      </x:c>
    </x:row>
    <x:row r="7">
      <x:c r="A7" s="9" t="str">
        <x:v>Blaukehlchen</x:v>
      </x:c>
      <x:c r="B7" s="9" t="str">
        <x:v>Luscinia svecica</x:v>
      </x:c>
      <x:c r="C7" s="9" t="str">
        <x:v>Bluethroat</x:v>
      </x:c>
      <x:c r="D7" s="12" t="n">
        <x:v>6</x:v>
      </x:c>
      <x:c r="E7" s="9" t="str">
        <x:v>selten / stark lokalisiert</x:v>
      </x:c>
      <x:c r="F7" s="9" t="str">
        <x:v>Regional stark gebundener Brutvogel mit speziellen Feuchtlebensräumen.</x:v>
      </x:c>
      <x:c r="G7" s="9" t="str">
        <x:v>Deutschland / Norddeutschland</x:v>
      </x:c>
      <x:c r="H7" s="9" t="str">
        <x:v>https://www.dda-web.de/aktuelles/meldungen/voegel-in-deutschland-bestandssituation-2025</x:v>
      </x:c>
    </x:row>
    <x:row r="8">
      <x:c r="A8" s="9" t="str">
        <x:v>Blaumeise</x:v>
      </x:c>
      <x:c r="B8" s="9" t="str">
        <x:v>Cyanistes caeruleus</x:v>
      </x:c>
      <x:c r="C8" s="9" t="str">
        <x:v>Eurasian Blue Tit</x:v>
      </x:c>
      <x:c r="D8" s="12" t="n">
        <x:v>1</x:v>
      </x:c>
      <x:c r="E8" s="9" t="str">
        <x:v>sehr häufig</x:v>
      </x:c>
      <x:c r="F8" s="9" t="str">
        <x:v>Sehr häufig und weit verbreitet; meist ohne gezielte Suche zu finden.</x:v>
      </x:c>
      <x:c r="G8" s="9" t="str">
        <x:v>Deutschland / Norddeutschland</x:v>
      </x:c>
      <x:c r="H8" s="9" t="str">
        <x:v>https://www.dda-web.de/aktuelles/meldungen/voegel-in-deutschland-bestandssituation-2025</x:v>
      </x:c>
    </x:row>
    <x:row r="9">
      <x:c r="A9" s="9" t="str">
        <x:v>Bluthänfling</x:v>
      </x:c>
      <x:c r="B9" s="9" t="str">
        <x:v>Linaria cannabina</x:v>
      </x:c>
      <x:c r="C9" s="9" t="str">
        <x:v>Eurasian Linnet</x:v>
      </x:c>
      <x:c r="D9" s="12" t="n">
        <x:v>3</x:v>
      </x:c>
      <x:c r="E9" s="9" t="str">
        <x:v>regelmäßig / lokal</x:v>
      </x:c>
      <x:c r="F9" s="9" t="str">
        <x:v>Regelmäßig, aber regional/lokal oder mit gezielterem Habitatbesuch.</x:v>
      </x:c>
      <x:c r="G9" s="9" t="str">
        <x:v>Deutschland / Norddeutschland</x:v>
      </x:c>
      <x:c r="H9" s="9" t="str">
        <x:v>https://www.dda-web.de/aktuelles/meldungen/voegel-in-deutschland-bestandssituation-2025</x:v>
      </x:c>
    </x:row>
    <x:row r="10">
      <x:c r="A10" s="9" t="str">
        <x:v>Blässhuhn</x:v>
      </x:c>
      <x:c r="B10" s="9" t="str">
        <x:v>Fulica atra</x:v>
      </x:c>
      <x:c r="C10" s="9" t="str">
        <x:v>Eurasian Coot</x:v>
      </x:c>
      <x:c r="D10" s="12" t="n">
        <x:v>1</x:v>
      </x:c>
      <x:c r="E10" s="9" t="str">
        <x:v>sehr häufig</x:v>
      </x:c>
      <x:c r="F10" s="9" t="str">
        <x:v>Sehr häufig und weit verbreitet; meist ohne gezielte Suche zu finden.</x:v>
      </x:c>
      <x:c r="G10" s="9" t="str">
        <x:v>Deutschland / Norddeutschland</x:v>
      </x:c>
      <x:c r="H10" s="9" t="str">
        <x:v>https://www.dda-web.de/aktuelles/meldungen/voegel-in-deutschland-bestandssituation-2025</x:v>
      </x:c>
    </x:row>
    <x:row r="11">
      <x:c r="A11" s="9" t="str">
        <x:v>Brandseeschwalbe</x:v>
      </x:c>
      <x:c r="B11" s="9" t="str">
        <x:v>Thalasseus sandvicensis</x:v>
      </x:c>
      <x:c r="C11" s="9" t="str">
        <x:v>Sandwich Tern</x:v>
      </x:c>
      <x:c r="D11" s="12" t="n">
        <x:v>6</x:v>
      </x:c>
      <x:c r="E11" s="9" t="str">
        <x:v>selten / stark lokalisiert</x:v>
      </x:c>
      <x:c r="F11" s="9" t="str">
        <x:v>Stark küsten- und koloniegebundene Art; im Binnenland bzw. Alltag selten.</x:v>
      </x:c>
      <x:c r="G11" s="9" t="str">
        <x:v>Deutschland / Norddeutschland</x:v>
      </x:c>
      <x:c r="H11" s="9" t="str">
        <x:v>https://www.dda-web.de/aktuelles/meldungen/voegel-in-deutschland-bestandssituation-2025</x:v>
      </x:c>
    </x:row>
    <x:row r="12">
      <x:c r="A12" s="9" t="str">
        <x:v>Braunkehlchen</x:v>
      </x:c>
      <x:c r="B12" s="9" t="str">
        <x:v>Saxicola rubetra</x:v>
      </x:c>
      <x:c r="C12" s="9" t="str">
        <x:v>Whinchat</x:v>
      </x:c>
      <x:c r="D12" s="12" t="n">
        <x:v>6</x:v>
      </x:c>
      <x:c r="E12" s="9" t="str">
        <x:v>selten / stark lokalisiert</x:v>
      </x:c>
      <x:c r="F12" s="9" t="str">
        <x:v>Deutlich zurückgegangener und regionaler Brutvogel; in Deutschland stark gefährdet.</x:v>
      </x:c>
      <x:c r="G12" s="9" t="str">
        <x:v>Deutschland / Norddeutschland</x:v>
      </x:c>
      <x:c r="H12" s="9" t="str">
        <x:v>https://www.dda-web.de/aktuelles/meldungen/voegel-in-deutschland-bestandssituation-2025</x:v>
      </x:c>
    </x:row>
    <x:row r="13">
      <x:c r="A13" s="9" t="str">
        <x:v>Buchfink</x:v>
      </x:c>
      <x:c r="B13" s="9" t="str">
        <x:v>Fringilla coelebs</x:v>
      </x:c>
      <x:c r="C13" s="9" t="str">
        <x:v>Common Chaffinch</x:v>
      </x:c>
      <x:c r="D13" s="12" t="n">
        <x:v>1</x:v>
      </x:c>
      <x:c r="E13" s="9" t="str">
        <x:v>sehr häufig</x:v>
      </x:c>
      <x:c r="F13" s="9" t="str">
        <x:v>Sehr häufig und weit verbreitet; meist ohne gezielte Suche zu finden.</x:v>
      </x:c>
      <x:c r="G13" s="9" t="str">
        <x:v>Deutschland / Norddeutschland</x:v>
      </x:c>
      <x:c r="H13" s="9" t="str">
        <x:v>https://www.dda-web.de/aktuelles/meldungen/voegel-in-deutschland-bestandssituation-2025</x:v>
      </x:c>
    </x:row>
    <x:row r="14">
      <x:c r="A14" s="9" t="str">
        <x:v>Buntspecht</x:v>
      </x:c>
      <x:c r="B14" s="9" t="str">
        <x:v>Dendrocopos major</x:v>
      </x:c>
      <x:c r="C14" s="9" t="str">
        <x:v>Great Spotted Woodpecker</x:v>
      </x:c>
      <x:c r="D14" s="12" t="n">
        <x:v>2</x:v>
      </x:c>
      <x:c r="E14" s="9" t="str">
        <x:v>häufig</x:v>
      </x:c>
      <x:c r="F14" s="9" t="str">
        <x:v>Häufig, aber etwas stärker an Saison oder Lebensraum gebunden.</x:v>
      </x:c>
      <x:c r="G14" s="9" t="str">
        <x:v>Deutschland / Norddeutschland</x:v>
      </x:c>
      <x:c r="H14" s="9" t="str">
        <x:v>https://www.dda-web.de/aktuelles/meldungen/voegel-in-deutschland-bestandssituation-2025</x:v>
      </x:c>
    </x:row>
    <x:row r="15">
      <x:c r="A15" s="9" t="str">
        <x:v>Dorngrasmücke</x:v>
      </x:c>
      <x:c r="B15" s="9" t="str">
        <x:v>Curruca communis</x:v>
      </x:c>
      <x:c r="C15" s="9" t="str">
        <x:v>Greater Whitethroat</x:v>
      </x:c>
      <x:c r="D15" s="12" t="n">
        <x:v>2</x:v>
      </x:c>
      <x:c r="E15" s="9" t="str">
        <x:v>häufig</x:v>
      </x:c>
      <x:c r="F15" s="9" t="str">
        <x:v>Häufig, aber etwas stärker an Saison oder Lebensraum gebunden.</x:v>
      </x:c>
      <x:c r="G15" s="9" t="str">
        <x:v>Deutschland / Norddeutschland</x:v>
      </x:c>
      <x:c r="H15" s="9" t="str">
        <x:v>https://www.dda-web.de/aktuelles/meldungen/voegel-in-deutschland-bestandssituation-2025</x:v>
      </x:c>
    </x:row>
    <x:row r="16">
      <x:c r="A16" s="9" t="str">
        <x:v>Eichelhäher</x:v>
      </x:c>
      <x:c r="B16" s="9" t="str">
        <x:v>Garrulus glandarius</x:v>
      </x:c>
      <x:c r="C16" s="9" t="str">
        <x:v>Eurasian Jay</x:v>
      </x:c>
      <x:c r="D16" s="12" t="n">
        <x:v>2</x:v>
      </x:c>
      <x:c r="E16" s="9" t="str">
        <x:v>häufig</x:v>
      </x:c>
      <x:c r="F16" s="9" t="str">
        <x:v>Häufig, aber etwas stärker an Saison oder Lebensraum gebunden.</x:v>
      </x:c>
      <x:c r="G16" s="9" t="str">
        <x:v>Deutschland / Norddeutschland</x:v>
      </x:c>
      <x:c r="H16" s="9" t="str">
        <x:v>https://www.dda-web.de/aktuelles/meldungen/voegel-in-deutschland-bestandssituation-2025</x:v>
      </x:c>
    </x:row>
    <x:row r="17">
      <x:c r="A17" s="9" t="str">
        <x:v>Elster</x:v>
      </x:c>
      <x:c r="B17" s="9" t="str">
        <x:v>Pica pica</x:v>
      </x:c>
      <x:c r="C17" s="9" t="str">
        <x:v>Eurasian Magpie</x:v>
      </x:c>
      <x:c r="D17" s="12" t="n">
        <x:v>1</x:v>
      </x:c>
      <x:c r="E17" s="9" t="str">
        <x:v>sehr häufig</x:v>
      </x:c>
      <x:c r="F17" s="9" t="str">
        <x:v>Sehr häufig und weit verbreitet; meist ohne gezielte Suche zu finden.</x:v>
      </x:c>
      <x:c r="G17" s="9" t="str">
        <x:v>Deutschland / Norddeutschland</x:v>
      </x:c>
      <x:c r="H17" s="9" t="str">
        <x:v>https://www.dda-web.de/aktuelles/meldungen/voegel-in-deutschland-bestandssituation-2025</x:v>
      </x:c>
    </x:row>
    <x:row r="18">
      <x:c r="A18" s="9" t="str">
        <x:v>Erlenzeisig</x:v>
      </x:c>
      <x:c r="B18" s="9" t="str">
        <x:v>Spinus spinus</x:v>
      </x:c>
      <x:c r="C18" s="9" t="str">
        <x:v>Eurasian Siskin</x:v>
      </x:c>
      <x:c r="D18" s="12" t="n">
        <x:v>3</x:v>
      </x:c>
      <x:c r="E18" s="9" t="str">
        <x:v>regelmäßig / lokal</x:v>
      </x:c>
      <x:c r="F18" s="9" t="str">
        <x:v>Regelmäßig, aber regional/lokal oder mit gezielterem Habitatbesuch.</x:v>
      </x:c>
      <x:c r="G18" s="9" t="str">
        <x:v>Deutschland / Norddeutschland</x:v>
      </x:c>
      <x:c r="H18" s="9" t="str">
        <x:v>https://www.dda-web.de/aktuelles/meldungen/voegel-in-deutschland-bestandssituation-2025</x:v>
      </x:c>
    </x:row>
    <x:row r="19">
      <x:c r="A19" s="9" t="str">
        <x:v>Feldlerche</x:v>
      </x:c>
      <x:c r="B19" s="9" t="str">
        <x:v>Alauda arvensis</x:v>
      </x:c>
      <x:c r="C19" s="9" t="str">
        <x:v>Eurasian Skylark</x:v>
      </x:c>
      <x:c r="D19" s="12" t="n">
        <x:v>2</x:v>
      </x:c>
      <x:c r="E19" s="9" t="str">
        <x:v>häufig</x:v>
      </x:c>
      <x:c r="F19" s="9" t="str">
        <x:v>Häufig, aber etwas stärker an Saison oder Lebensraum gebunden.</x:v>
      </x:c>
      <x:c r="G19" s="9" t="str">
        <x:v>Deutschland / Norddeutschland</x:v>
      </x:c>
      <x:c r="H19" s="9" t="str">
        <x:v>https://www.dda-web.de/aktuelles/meldungen/voegel-in-deutschland-bestandssituation-2025</x:v>
      </x:c>
    </x:row>
    <x:row r="20">
      <x:c r="A20" s="9" t="str">
        <x:v>Feldschwirl</x:v>
      </x:c>
      <x:c r="B20" s="9" t="str">
        <x:v>Locustella naevia</x:v>
      </x:c>
      <x:c r="C20" s="9" t="str">
        <x:v>Common Grasshopper Warbler</x:v>
      </x:c>
      <x:c r="D20" s="12" t="n">
        <x:v>5</x:v>
      </x:c>
      <x:c r="E20" s="9" t="str">
        <x:v>ungewöhnlich</x:v>
      </x:c>
      <x:c r="F20" s="9" t="str">
        <x:v>Saisonal, habitatgebunden und trotz markantem Gesang nicht flächig verbreitet.</x:v>
      </x:c>
      <x:c r="G20" s="9" t="str">
        <x:v>Deutschland / Norddeutschland</x:v>
      </x:c>
      <x:c r="H20" s="9" t="str">
        <x:v>https://www.dda-web.de/aktuelles/meldungen/voegel-in-deutschland-bestandssituation-2025</x:v>
      </x:c>
    </x:row>
    <x:row r="21">
      <x:c r="A21" s="9" t="str">
        <x:v>Feldsperling</x:v>
      </x:c>
      <x:c r="B21" s="9" t="str">
        <x:v>Passer montanus</x:v>
      </x:c>
      <x:c r="C21" s="9" t="str">
        <x:v>Eurasian Tree Sparrow</x:v>
      </x:c>
      <x:c r="D21" s="12" t="n">
        <x:v>2</x:v>
      </x:c>
      <x:c r="E21" s="9" t="str">
        <x:v>häufig</x:v>
      </x:c>
      <x:c r="F21" s="9" t="str">
        <x:v>Häufig, aber etwas stärker an Saison oder Lebensraum gebunden.</x:v>
      </x:c>
      <x:c r="G21" s="9" t="str">
        <x:v>Deutschland / Norddeutschland</x:v>
      </x:c>
      <x:c r="H21" s="9" t="str">
        <x:v>https://www.dda-web.de/aktuelles/meldungen/voegel-in-deutschland-bestandssituation-2025</x:v>
      </x:c>
    </x:row>
    <x:row r="22">
      <x:c r="A22" s="9" t="str">
        <x:v>Felsentaube</x:v>
      </x:c>
      <x:c r="B22" s="9" t="str">
        <x:v>Columba livia</x:v>
      </x:c>
      <x:c r="C22" s="9" t="str">
        <x:v>Rock Pigeon</x:v>
      </x:c>
      <x:c r="D22" s="12" t="n">
        <x:v>1</x:v>
      </x:c>
      <x:c r="E22" s="9" t="str">
        <x:v>sehr häufig</x:v>
      </x:c>
      <x:c r="F22" s="9" t="str">
        <x:v>Sehr häufig und weit verbreitet; meist ohne gezielte Suche zu finden.</x:v>
      </x:c>
      <x:c r="G22" s="9" t="str">
        <x:v>Deutschland / Norddeutschland</x:v>
      </x:c>
      <x:c r="H22" s="9" t="str">
        <x:v>https://www.dda-web.de/aktuelles/meldungen/voegel-in-deutschland-bestandssituation-2025</x:v>
      </x:c>
    </x:row>
    <x:row r="23">
      <x:c r="A23" s="9" t="str">
        <x:v>Fitis</x:v>
      </x:c>
      <x:c r="B23" s="9" t="str">
        <x:v>Phylloscopus trochilus</x:v>
      </x:c>
      <x:c r="C23" s="9" t="str">
        <x:v>Willow Warbler</x:v>
      </x:c>
      <x:c r="D23" s="12" t="n">
        <x:v>2</x:v>
      </x:c>
      <x:c r="E23" s="9" t="str">
        <x:v>häufig</x:v>
      </x:c>
      <x:c r="F23" s="9" t="str">
        <x:v>Häufig, aber etwas stärker an Saison oder Lebensraum gebunden.</x:v>
      </x:c>
      <x:c r="G23" s="9" t="str">
        <x:v>Deutschland / Norddeutschland</x:v>
      </x:c>
      <x:c r="H23" s="9" t="str">
        <x:v>https://www.dda-web.de/aktuelles/meldungen/voegel-in-deutschland-bestandssituation-2025</x:v>
      </x:c>
    </x:row>
    <x:row r="24">
      <x:c r="A24" s="9" t="str">
        <x:v>Flussuferläufer</x:v>
      </x:c>
      <x:c r="B24" s="9" t="str">
        <x:v>Actitis hypoleucos</x:v>
      </x:c>
      <x:c r="C24" s="9" t="str">
        <x:v>Common Sandpiper</x:v>
      </x:c>
      <x:c r="D24" s="12" t="n">
        <x:v>5</x:v>
      </x:c>
      <x:c r="E24" s="9" t="str">
        <x:v>ungewöhnlich</x:v>
      </x:c>
      <x:c r="F24" s="9" t="str">
        <x:v>Als Brutvogel lokal, als Zugvogel regelmäßiger; dennoch kein alltäglicher Nachweis.</x:v>
      </x:c>
      <x:c r="G24" s="9" t="str">
        <x:v>Deutschland / Norddeutschland</x:v>
      </x:c>
      <x:c r="H24" s="9" t="str">
        <x:v>https://www.dda-web.de/aktuelles/meldungen/voegel-in-deutschland-bestandssituation-2025</x:v>
      </x:c>
    </x:row>
    <x:row r="25">
      <x:c r="A25" s="9" t="str">
        <x:v>Gartenbaumläufer</x:v>
      </x:c>
      <x:c r="B25" s="9" t="str">
        <x:v>Certhia brachydactyla</x:v>
      </x:c>
      <x:c r="C25" s="9" t="str">
        <x:v>Short-toed Treecreeper</x:v>
      </x:c>
      <x:c r="D25" s="12" t="n">
        <x:v>3</x:v>
      </x:c>
      <x:c r="E25" s="9" t="str">
        <x:v>regelmäßig / lokal</x:v>
      </x:c>
      <x:c r="F25" s="9" t="str">
        <x:v>Regelmäßig, aber regional/lokal oder mit gezielterem Habitatbesuch.</x:v>
      </x:c>
      <x:c r="G25" s="9" t="str">
        <x:v>Deutschland / Norddeutschland</x:v>
      </x:c>
      <x:c r="H25" s="9" t="str">
        <x:v>https://www.dda-web.de/aktuelles/meldungen/voegel-in-deutschland-bestandssituation-2025</x:v>
      </x:c>
    </x:row>
    <x:row r="26">
      <x:c r="A26" s="9" t="str">
        <x:v>Gartengrasmücke</x:v>
      </x:c>
      <x:c r="B26" s="9" t="str">
        <x:v>Sylvia borin</x:v>
      </x:c>
      <x:c r="C26" s="9" t="str">
        <x:v>Garden Warbler</x:v>
      </x:c>
      <x:c r="D26" s="12" t="n">
        <x:v>3</x:v>
      </x:c>
      <x:c r="E26" s="9" t="str">
        <x:v>regelmäßig / lokal</x:v>
      </x:c>
      <x:c r="F26" s="9" t="str">
        <x:v>Regelmäßig, aber regional/lokal oder mit gezielterem Habitatbesuch.</x:v>
      </x:c>
      <x:c r="G26" s="9" t="str">
        <x:v>Deutschland / Norddeutschland</x:v>
      </x:c>
      <x:c r="H26" s="9" t="str">
        <x:v>https://www.dda-web.de/aktuelles/meldungen/voegel-in-deutschland-bestandssituation-2025</x:v>
      </x:c>
    </x:row>
    <x:row r="27">
      <x:c r="A27" s="9" t="str">
        <x:v>Gartenrotschwanz</x:v>
      </x:c>
      <x:c r="B27" s="9" t="str">
        <x:v>Phoenicurus phoenicurus</x:v>
      </x:c>
      <x:c r="C27" s="9" t="str">
        <x:v>Common Redstart</x:v>
      </x:c>
      <x:c r="D27" s="12" t="n">
        <x:v>4</x:v>
      </x:c>
      <x:c r="E27" s="9" t="str">
        <x:v>besonders</x:v>
      </x:c>
      <x:c r="F27" s="9" t="str">
        <x:v>Deutlich besonderer Fund; nicht flächig bzw. nur zu passenden Zeiten oder Habitaten.</x:v>
      </x:c>
      <x:c r="G27" s="9" t="str">
        <x:v>Deutschland / Norddeutschland</x:v>
      </x:c>
      <x:c r="H27" s="9" t="str">
        <x:v>https://www.dda-web.de/aktuelles/meldungen/voegel-in-deutschland-bestandssituation-2025</x:v>
      </x:c>
    </x:row>
    <x:row r="28">
      <x:c r="A28" s="9" t="str">
        <x:v>Gimpel</x:v>
      </x:c>
      <x:c r="B28" s="9" t="str">
        <x:v>Pyrrhula pyrrhula</x:v>
      </x:c>
      <x:c r="C28" s="9" t="str">
        <x:v>Eurasian Bullfinch</x:v>
      </x:c>
      <x:c r="D28" s="12" t="n">
        <x:v>3</x:v>
      </x:c>
      <x:c r="E28" s="9" t="str">
        <x:v>regelmäßig / lokal</x:v>
      </x:c>
      <x:c r="F28" s="9" t="str">
        <x:v>Regelmäßig, aber regional/lokal oder mit gezielterem Habitatbesuch.</x:v>
      </x:c>
      <x:c r="G28" s="9" t="str">
        <x:v>Deutschland / Norddeutschland</x:v>
      </x:c>
      <x:c r="H28" s="9" t="str">
        <x:v>https://www.dda-web.de/aktuelles/meldungen/voegel-in-deutschland-bestandssituation-2025</x:v>
      </x:c>
    </x:row>
    <x:row r="29">
      <x:c r="A29" s="9" t="str">
        <x:v>Goldammer</x:v>
      </x:c>
      <x:c r="B29" s="9" t="str">
        <x:v>Emberiza citrinella</x:v>
      </x:c>
      <x:c r="C29" s="9" t="str">
        <x:v>Yellowhammer</x:v>
      </x:c>
      <x:c r="D29" s="12" t="n">
        <x:v>2</x:v>
      </x:c>
      <x:c r="E29" s="9" t="str">
        <x:v>häufig</x:v>
      </x:c>
      <x:c r="F29" s="9" t="str">
        <x:v>Häufig, aber etwas stärker an Saison oder Lebensraum gebunden.</x:v>
      </x:c>
      <x:c r="G29" s="9" t="str">
        <x:v>Deutschland / Norddeutschland</x:v>
      </x:c>
      <x:c r="H29" s="9" t="str">
        <x:v>https://www.dda-web.de/aktuelles/meldungen/voegel-in-deutschland-bestandssituation-2025</x:v>
      </x:c>
    </x:row>
    <x:row r="30">
      <x:c r="A30" s="9" t="str">
        <x:v>Goldregenpfeifer</x:v>
      </x:c>
      <x:c r="B30" s="9" t="str">
        <x:v>Pluvialis apricaria</x:v>
      </x:c>
      <x:c r="C30" s="9" t="str">
        <x:v>European Golden-Plover</x:v>
      </x:c>
      <x:c r="D30" s="12" t="n">
        <x:v>6</x:v>
      </x:c>
      <x:c r="E30" s="9" t="str">
        <x:v>selten / stark lokalisiert</x:v>
      </x:c>
      <x:c r="F30" s="9" t="str">
        <x:v>In Deutschland kein regelmäßiger Brutvogel mehr; vor allem Zug- und Wintergast.</x:v>
      </x:c>
      <x:c r="G30" s="9" t="str">
        <x:v>Deutschland / Norddeutschland</x:v>
      </x:c>
      <x:c r="H30" s="9" t="str">
        <x:v>https://www.dda-web.de/aktuelles/meldungen/voegel-in-deutschland-bestandssituation-2025</x:v>
      </x:c>
    </x:row>
    <x:row r="31">
      <x:c r="A31" s="9" t="str">
        <x:v>Graugans</x:v>
      </x:c>
      <x:c r="B31" s="9" t="str">
        <x:v>Anser anser</x:v>
      </x:c>
      <x:c r="C31" s="9" t="str">
        <x:v>Graylag Goose</x:v>
      </x:c>
      <x:c r="D31" s="12" t="n">
        <x:v>1</x:v>
      </x:c>
      <x:c r="E31" s="9" t="str">
        <x:v>sehr häufig</x:v>
      </x:c>
      <x:c r="F31" s="9" t="str">
        <x:v>Sehr häufig und weit verbreitet; meist ohne gezielte Suche zu finden.</x:v>
      </x:c>
      <x:c r="G31" s="9" t="str">
        <x:v>Deutschland / Norddeutschland</x:v>
      </x:c>
      <x:c r="H31" s="9" t="str">
        <x:v>https://www.dda-web.de/aktuelles/meldungen/voegel-in-deutschland-bestandssituation-2025</x:v>
      </x:c>
    </x:row>
    <x:row r="32">
      <x:c r="A32" s="9" t="str">
        <x:v>Grünfink</x:v>
      </x:c>
      <x:c r="B32" s="9" t="str">
        <x:v>Chloris chloris</x:v>
      </x:c>
      <x:c r="C32" s="9" t="str">
        <x:v>European Greenfinch</x:v>
      </x:c>
      <x:c r="D32" s="12" t="n">
        <x:v>2</x:v>
      </x:c>
      <x:c r="E32" s="9" t="str">
        <x:v>häufig</x:v>
      </x:c>
      <x:c r="F32" s="9" t="str">
        <x:v>Häufig, aber etwas stärker an Saison oder Lebensraum gebunden.</x:v>
      </x:c>
      <x:c r="G32" s="9" t="str">
        <x:v>Deutschland / Norddeutschland</x:v>
      </x:c>
      <x:c r="H32" s="9" t="str">
        <x:v>https://www.dda-web.de/aktuelles/meldungen/voegel-in-deutschland-bestandssituation-2025</x:v>
      </x:c>
    </x:row>
    <x:row r="33">
      <x:c r="A33" s="9" t="str">
        <x:v>Grünschenkel</x:v>
      </x:c>
      <x:c r="B33" s="9" t="str">
        <x:v>Tringa nebularia</x:v>
      </x:c>
      <x:c r="C33" s="9" t="str">
        <x:v>Common Greenshank</x:v>
      </x:c>
      <x:c r="D33" s="12" t="n">
        <x:v>6</x:v>
      </x:c>
      <x:c r="E33" s="9" t="str">
        <x:v>selten / stark lokalisiert</x:v>
      </x:c>
      <x:c r="F33" s="9" t="str">
        <x:v>Vor allem Durchzügler; guter Nachweis erfordert passende Feuchtgebiete und Zugzeit.</x:v>
      </x:c>
      <x:c r="G33" s="9" t="str">
        <x:v>Deutschland / Norddeutschland</x:v>
      </x:c>
      <x:c r="H33" s="9" t="str">
        <x:v>https://www.dda-web.de/aktuelles/meldungen/voegel-in-deutschland-bestandssituation-2025</x:v>
      </x:c>
    </x:row>
    <x:row r="34">
      <x:c r="A34" s="9" t="str">
        <x:v>Grünspecht</x:v>
      </x:c>
      <x:c r="B34" s="9" t="str">
        <x:v>Picus viridis</x:v>
      </x:c>
      <x:c r="C34" s="9" t="str">
        <x:v>Eurasian Green Woodpecker</x:v>
      </x:c>
      <x:c r="D34" s="12" t="n">
        <x:v>3</x:v>
      </x:c>
      <x:c r="E34" s="9" t="str">
        <x:v>regelmäßig / lokal</x:v>
      </x:c>
      <x:c r="F34" s="9" t="str">
        <x:v>Regelmäßig, aber regional/lokal oder mit gezielterem Habitatbesuch.</x:v>
      </x:c>
      <x:c r="G34" s="9" t="str">
        <x:v>Deutschland / Norddeutschland</x:v>
      </x:c>
      <x:c r="H34" s="9" t="str">
        <x:v>https://www.dda-web.de/aktuelles/meldungen/voegel-in-deutschland-bestandssituation-2025</x:v>
      </x:c>
    </x:row>
    <x:row r="35">
      <x:c r="A35" s="9" t="str">
        <x:v>Haubenmeise</x:v>
      </x:c>
      <x:c r="B35" s="9" t="str">
        <x:v>Lophophanes cristatus</x:v>
      </x:c>
      <x:c r="C35" s="9" t="str">
        <x:v>Crested Tit</x:v>
      </x:c>
      <x:c r="D35" s="12" t="n">
        <x:v>4</x:v>
      </x:c>
      <x:c r="E35" s="9" t="str">
        <x:v>besonders</x:v>
      </x:c>
      <x:c r="F35" s="9" t="str">
        <x:v>Deutlich besonderer Fund; nicht flächig bzw. nur zu passenden Zeiten oder Habitaten.</x:v>
      </x:c>
      <x:c r="G35" s="9" t="str">
        <x:v>Deutschland / Norddeutschland</x:v>
      </x:c>
      <x:c r="H35" s="9" t="str">
        <x:v>https://www.dda-web.de/aktuelles/meldungen/voegel-in-deutschland-bestandssituation-2025</x:v>
      </x:c>
    </x:row>
    <x:row r="36">
      <x:c r="A36" s="9" t="str">
        <x:v>Hausrotschwanz</x:v>
      </x:c>
      <x:c r="B36" s="9" t="str">
        <x:v>Phoenicurus ochruros</x:v>
      </x:c>
      <x:c r="C36" s="9" t="str">
        <x:v>Black Redstart</x:v>
      </x:c>
      <x:c r="D36" s="12" t="n">
        <x:v>2</x:v>
      </x:c>
      <x:c r="E36" s="9" t="str">
        <x:v>häufig</x:v>
      </x:c>
      <x:c r="F36" s="9" t="str">
        <x:v>Häufig, aber etwas stärker an Saison oder Lebensraum gebunden.</x:v>
      </x:c>
      <x:c r="G36" s="9" t="str">
        <x:v>Deutschland / Norddeutschland</x:v>
      </x:c>
      <x:c r="H36" s="9" t="str">
        <x:v>https://www.dda-web.de/aktuelles/meldungen/voegel-in-deutschland-bestandssituation-2025</x:v>
      </x:c>
    </x:row>
    <x:row r="37">
      <x:c r="A37" s="9" t="str">
        <x:v>Haussperling</x:v>
      </x:c>
      <x:c r="B37" s="9" t="str">
        <x:v>Passer domesticus</x:v>
      </x:c>
      <x:c r="C37" s="9" t="str">
        <x:v>House Sparrow</x:v>
      </x:c>
      <x:c r="D37" s="12" t="n">
        <x:v>1</x:v>
      </x:c>
      <x:c r="E37" s="9" t="str">
        <x:v>sehr häufig</x:v>
      </x:c>
      <x:c r="F37" s="9" t="str">
        <x:v>Sehr häufig und weit verbreitet; meist ohne gezielte Suche zu finden.</x:v>
      </x:c>
      <x:c r="G37" s="9" t="str">
        <x:v>Deutschland / Norddeutschland</x:v>
      </x:c>
      <x:c r="H37" s="9" t="str">
        <x:v>https://www.dda-web.de/aktuelles/meldungen/voegel-in-deutschland-bestandssituation-2025</x:v>
      </x:c>
    </x:row>
    <x:row r="38">
      <x:c r="A38" s="9" t="str">
        <x:v>Heckenbraunelle</x:v>
      </x:c>
      <x:c r="B38" s="9" t="str">
        <x:v>Prunella modularis</x:v>
      </x:c>
      <x:c r="C38" s="9" t="str">
        <x:v>Dunnock</x:v>
      </x:c>
      <x:c r="D38" s="12" t="n">
        <x:v>1</x:v>
      </x:c>
      <x:c r="E38" s="9" t="str">
        <x:v>sehr häufig</x:v>
      </x:c>
      <x:c r="F38" s="9" t="str">
        <x:v>Sehr häufig und weit verbreitet; meist ohne gezielte Suche zu finden.</x:v>
      </x:c>
      <x:c r="G38" s="9" t="str">
        <x:v>Deutschland / Norddeutschland</x:v>
      </x:c>
      <x:c r="H38" s="9" t="str">
        <x:v>https://www.dda-web.de/aktuelles/meldungen/voegel-in-deutschland-bestandssituation-2025</x:v>
      </x:c>
    </x:row>
    <x:row r="39">
      <x:c r="A39" s="9" t="str">
        <x:v>Heidelerche</x:v>
      </x:c>
      <x:c r="B39" s="9" t="str">
        <x:v>Lullula arborea</x:v>
      </x:c>
      <x:c r="C39" s="9" t="str">
        <x:v>Wood Lark</x:v>
      </x:c>
      <x:c r="D39" s="12" t="n">
        <x:v>5</x:v>
      </x:c>
      <x:c r="E39" s="9" t="str">
        <x:v>ungewöhnlich</x:v>
      </x:c>
      <x:c r="F39" s="9" t="str">
        <x:v>An spezielle offene, trockene Lebensräume gebunden und regional begrenzt.</x:v>
      </x:c>
      <x:c r="G39" s="9" t="str">
        <x:v>Deutschland / Norddeutschland</x:v>
      </x:c>
      <x:c r="H39" s="9" t="str">
        <x:v>https://www.dda-web.de/aktuelles/meldungen/voegel-in-deutschland-bestandssituation-2025</x:v>
      </x:c>
    </x:row>
    <x:row r="40">
      <x:c r="A40" s="9" t="str">
        <x:v>Jagdfasan</x:v>
      </x:c>
      <x:c r="B40" s="9" t="str">
        <x:v>Phasianus colchicus</x:v>
      </x:c>
      <x:c r="C40" s="9" t="str">
        <x:v>Ring-necked Pheasant</x:v>
      </x:c>
      <x:c r="D40" s="12" t="n">
        <x:v>2</x:v>
      </x:c>
      <x:c r="E40" s="9" t="str">
        <x:v>häufig</x:v>
      </x:c>
      <x:c r="F40" s="9" t="str">
        <x:v>Häufig, aber etwas stärker an Saison oder Lebensraum gebunden.</x:v>
      </x:c>
      <x:c r="G40" s="9" t="str">
        <x:v>Deutschland / Norddeutschland</x:v>
      </x:c>
      <x:c r="H40" s="9" t="str">
        <x:v>https://www.dda-web.de/aktuelles/meldungen/voegel-in-deutschland-bestandssituation-2025</x:v>
      </x:c>
    </x:row>
    <x:row r="41">
      <x:c r="A41" s="9" t="str">
        <x:v>Kanadagans</x:v>
      </x:c>
      <x:c r="B41" s="9" t="str">
        <x:v>Branta canadensis</x:v>
      </x:c>
      <x:c r="C41" s="9" t="str">
        <x:v>Canada Goose</x:v>
      </x:c>
      <x:c r="D41" s="12" t="n">
        <x:v>1</x:v>
      </x:c>
      <x:c r="E41" s="9" t="str">
        <x:v>sehr häufig</x:v>
      </x:c>
      <x:c r="F41" s="9" t="str">
        <x:v>Sehr häufig und weit verbreitet; meist ohne gezielte Suche zu finden.</x:v>
      </x:c>
      <x:c r="G41" s="9" t="str">
        <x:v>Deutschland / Norddeutschland</x:v>
      </x:c>
      <x:c r="H41" s="9" t="str">
        <x:v>https://www.dda-web.de/aktuelles/meldungen/voegel-in-deutschland-bestandssituation-2025</x:v>
      </x:c>
    </x:row>
    <x:row r="42">
      <x:c r="A42" s="9" t="str">
        <x:v>Kiebitzregenpfeifer</x:v>
      </x:c>
      <x:c r="B42" s="9" t="str">
        <x:v>Pluvialis squatarola</x:v>
      </x:c>
      <x:c r="C42" s="9" t="str">
        <x:v>Black-bellied Plover</x:v>
      </x:c>
      <x:c r="D42" s="12" t="n">
        <x:v>7</x:v>
      </x:c>
      <x:c r="E42" s="9" t="str">
        <x:v>sehr selten, aber regelmäßig</x:v>
      </x:c>
      <x:c r="F42" s="9" t="str">
        <x:v>Regelmäßiger, aber stark küsten- und zugzeitgebundener Gast; im Alltag sehr ungewöhnlich.</x:v>
      </x:c>
      <x:c r="G42" s="9" t="str">
        <x:v>Deutschland / Norddeutschland</x:v>
      </x:c>
      <x:c r="H42" s="9" t="str">
        <x:v>https://www.dda-web.de/aktuelles/meldungen/voegel-in-deutschland-bestandssituation-2025</x:v>
      </x:c>
    </x:row>
    <x:row r="43">
      <x:c r="A43" s="9" t="str">
        <x:v>Klappergrasmücke</x:v>
      </x:c>
      <x:c r="B43" s="9" t="str">
        <x:v>Curruca curruca</x:v>
      </x:c>
      <x:c r="C43" s="9" t="str">
        <x:v>Lesser Whitethroat</x:v>
      </x:c>
      <x:c r="D43" s="12" t="n">
        <x:v>3</x:v>
      </x:c>
      <x:c r="E43" s="9" t="str">
        <x:v>regelmäßig / lokal</x:v>
      </x:c>
      <x:c r="F43" s="9" t="str">
        <x:v>Regelmäßig, aber regional/lokal oder mit gezielterem Habitatbesuch.</x:v>
      </x:c>
      <x:c r="G43" s="9" t="str">
        <x:v>Deutschland / Norddeutschland</x:v>
      </x:c>
      <x:c r="H43" s="9" t="str">
        <x:v>https://www.dda-web.de/aktuelles/meldungen/voegel-in-deutschland-bestandssituation-2025</x:v>
      </x:c>
    </x:row>
    <x:row r="44">
      <x:c r="A44" s="9" t="str">
        <x:v>Kleiber</x:v>
      </x:c>
      <x:c r="B44" s="9" t="str">
        <x:v>Sitta europaea</x:v>
      </x:c>
      <x:c r="C44" s="9" t="str">
        <x:v>Eurasian Nuthatch</x:v>
      </x:c>
      <x:c r="D44" s="12" t="n">
        <x:v>2</x:v>
      </x:c>
      <x:c r="E44" s="9" t="str">
        <x:v>häufig</x:v>
      </x:c>
      <x:c r="F44" s="9" t="str">
        <x:v>Häufig, aber etwas stärker an Saison oder Lebensraum gebunden.</x:v>
      </x:c>
      <x:c r="G44" s="9" t="str">
        <x:v>Deutschland / Norddeutschland</x:v>
      </x:c>
      <x:c r="H44" s="9" t="str">
        <x:v>https://www.dda-web.de/aktuelles/meldungen/voegel-in-deutschland-bestandssituation-2025</x:v>
      </x:c>
    </x:row>
    <x:row r="45">
      <x:c r="A45" s="9" t="str">
        <x:v>Kohlmeise</x:v>
      </x:c>
      <x:c r="B45" s="9" t="str">
        <x:v>Parus major</x:v>
      </x:c>
      <x:c r="C45" s="9" t="str">
        <x:v>Great Tit</x:v>
      </x:c>
      <x:c r="D45" s="12" t="n">
        <x:v>1</x:v>
      </x:c>
      <x:c r="E45" s="9" t="str">
        <x:v>sehr häufig</x:v>
      </x:c>
      <x:c r="F45" s="9" t="str">
        <x:v>Sehr häufig und weit verbreitet; meist ohne gezielte Suche zu finden.</x:v>
      </x:c>
      <x:c r="G45" s="9" t="str">
        <x:v>Deutschland / Norddeutschland</x:v>
      </x:c>
      <x:c r="H45" s="9" t="str">
        <x:v>https://www.dda-web.de/aktuelles/meldungen/voegel-in-deutschland-bestandssituation-2025</x:v>
      </x:c>
    </x:row>
    <x:row r="46">
      <x:c r="A46" s="9" t="str">
        <x:v>Kolkrabe</x:v>
      </x:c>
      <x:c r="B46" s="9" t="str">
        <x:v>Corvus corax</x:v>
      </x:c>
      <x:c r="C46" s="9" t="str">
        <x:v>Common Raven</x:v>
      </x:c>
      <x:c r="D46" s="12" t="n">
        <x:v>3</x:v>
      </x:c>
      <x:c r="E46" s="9" t="str">
        <x:v>regelmäßig / lokal</x:v>
      </x:c>
      <x:c r="F46" s="9" t="str">
        <x:v>Regelmäßig, aber regional/lokal oder mit gezielterem Habitatbesuch.</x:v>
      </x:c>
      <x:c r="G46" s="9" t="str">
        <x:v>Deutschland / Norddeutschland</x:v>
      </x:c>
      <x:c r="H46" s="9" t="str">
        <x:v>https://www.dda-web.de/aktuelles/meldungen/voegel-in-deutschland-bestandssituation-2025</x:v>
      </x:c>
    </x:row>
    <x:row r="47">
      <x:c r="A47" s="9" t="str">
        <x:v>Kranich</x:v>
      </x:c>
      <x:c r="B47" s="9" t="str">
        <x:v>Grus grus</x:v>
      </x:c>
      <x:c r="C47" s="9" t="str">
        <x:v>Common Crane</x:v>
      </x:c>
      <x:c r="D47" s="12" t="n">
        <x:v>4</x:v>
      </x:c>
      <x:c r="E47" s="9" t="str">
        <x:v>besonders</x:v>
      </x:c>
      <x:c r="F47" s="9" t="str">
        <x:v>Deutlich besonderer Fund; nicht flächig bzw. nur zu passenden Zeiten oder Habitaten.</x:v>
      </x:c>
      <x:c r="G47" s="9" t="str">
        <x:v>Deutschland / Norddeutschland</x:v>
      </x:c>
      <x:c r="H47" s="9" t="str">
        <x:v>https://www.dda-web.de/aktuelles/meldungen/voegel-in-deutschland-bestandssituation-2025</x:v>
      </x:c>
    </x:row>
    <x:row r="48">
      <x:c r="A48" s="9" t="str">
        <x:v>Kuckuck</x:v>
      </x:c>
      <x:c r="B48" s="9" t="str">
        <x:v>Cuculus canorus</x:v>
      </x:c>
      <x:c r="C48" s="9" t="str">
        <x:v>Common Cuckoo</x:v>
      </x:c>
      <x:c r="D48" s="12" t="n">
        <x:v>4</x:v>
      </x:c>
      <x:c r="E48" s="9" t="str">
        <x:v>besonders</x:v>
      </x:c>
      <x:c r="F48" s="9" t="str">
        <x:v>Deutlich besonderer Fund; nicht flächig bzw. nur zu passenden Zeiten oder Habitaten.</x:v>
      </x:c>
      <x:c r="G48" s="9" t="str">
        <x:v>Deutschland / Norddeutschland</x:v>
      </x:c>
      <x:c r="H48" s="9" t="str">
        <x:v>https://www.dda-web.de/aktuelles/meldungen/voegel-in-deutschland-bestandssituation-2025</x:v>
      </x:c>
    </x:row>
    <x:row r="49">
      <x:c r="A49" s="9" t="str">
        <x:v>Lachmöwe</x:v>
      </x:c>
      <x:c r="B49" s="9" t="str">
        <x:v>Chroicocephalus ridibundus</x:v>
      </x:c>
      <x:c r="C49" s="9" t="str">
        <x:v>Black-headed Gull</x:v>
      </x:c>
      <x:c r="D49" s="12" t="n">
        <x:v>2</x:v>
      </x:c>
      <x:c r="E49" s="9" t="str">
        <x:v>häufig</x:v>
      </x:c>
      <x:c r="F49" s="9" t="str">
        <x:v>Häufig, aber etwas stärker an Saison oder Lebensraum gebunden.</x:v>
      </x:c>
      <x:c r="G49" s="9" t="str">
        <x:v>Deutschland / Norddeutschland</x:v>
      </x:c>
      <x:c r="H49" s="9" t="str">
        <x:v>https://www.dda-web.de/aktuelles/meldungen/voegel-in-deutschland-bestandssituation-2025</x:v>
      </x:c>
    </x:row>
    <x:row r="50">
      <x:c r="A50" s="9" t="str">
        <x:v>Mauersegler</x:v>
      </x:c>
      <x:c r="B50" s="9" t="str">
        <x:v>Apus apus</x:v>
      </x:c>
      <x:c r="C50" s="9" t="str">
        <x:v>Common Swift</x:v>
      </x:c>
      <x:c r="D50" s="12" t="n">
        <x:v>2</x:v>
      </x:c>
      <x:c r="E50" s="9" t="str">
        <x:v>häufig</x:v>
      </x:c>
      <x:c r="F50" s="9" t="str">
        <x:v>Häufig, aber etwas stärker an Saison oder Lebensraum gebunden.</x:v>
      </x:c>
      <x:c r="G50" s="9" t="str">
        <x:v>Deutschland / Norddeutschland</x:v>
      </x:c>
      <x:c r="H50" s="9" t="str">
        <x:v>https://www.dda-web.de/aktuelles/meldungen/voegel-in-deutschland-bestandssituation-2025</x:v>
      </x:c>
    </x:row>
    <x:row r="51">
      <x:c r="A51" s="9" t="str">
        <x:v>Mehlschwalbe</x:v>
      </x:c>
      <x:c r="B51" s="9" t="str">
        <x:v>Delichon urbicum</x:v>
      </x:c>
      <x:c r="C51" s="9" t="str">
        <x:v>Western House-Martin</x:v>
      </x:c>
      <x:c r="D51" s="12" t="n">
        <x:v>2</x:v>
      </x:c>
      <x:c r="E51" s="9" t="str">
        <x:v>häufig</x:v>
      </x:c>
      <x:c r="F51" s="9" t="str">
        <x:v>Häufig, aber etwas stärker an Saison oder Lebensraum gebunden.</x:v>
      </x:c>
      <x:c r="G51" s="9" t="str">
        <x:v>Deutschland / Norddeutschland</x:v>
      </x:c>
      <x:c r="H51" s="9" t="str">
        <x:v>https://www.dda-web.de/aktuelles/meldungen/voegel-in-deutschland-bestandssituation-2025</x:v>
      </x:c>
    </x:row>
    <x:row r="52">
      <x:c r="A52" s="9" t="str">
        <x:v>Misteldrossel</x:v>
      </x:c>
      <x:c r="B52" s="9" t="str">
        <x:v>Turdus viscivorus</x:v>
      </x:c>
      <x:c r="C52" s="9" t="str">
        <x:v>Mistle Thrush</x:v>
      </x:c>
      <x:c r="D52" s="12" t="n">
        <x:v>3</x:v>
      </x:c>
      <x:c r="E52" s="9" t="str">
        <x:v>regelmäßig / lokal</x:v>
      </x:c>
      <x:c r="F52" s="9" t="str">
        <x:v>Regelmäßig, aber regional/lokal oder mit gezielterem Habitatbesuch.</x:v>
      </x:c>
      <x:c r="G52" s="9" t="str">
        <x:v>Deutschland / Norddeutschland</x:v>
      </x:c>
      <x:c r="H52" s="9" t="str">
        <x:v>https://www.dda-web.de/aktuelles/meldungen/voegel-in-deutschland-bestandssituation-2025</x:v>
      </x:c>
    </x:row>
    <x:row r="53">
      <x:c r="A53" s="9" t="str">
        <x:v>Mittelmeermöwe</x:v>
      </x:c>
      <x:c r="B53" s="9" t="str">
        <x:v>Larus michahellis</x:v>
      </x:c>
      <x:c r="C53" s="9" t="str">
        <x:v>Yellow-legged Gull</x:v>
      </x:c>
      <x:c r="D53" s="12" t="n">
        <x:v>5</x:v>
      </x:c>
      <x:c r="E53" s="9" t="str">
        <x:v>ungewöhnlich</x:v>
      </x:c>
      <x:c r="F53" s="9" t="str">
        <x:v>In Norddeutschland deutlich weniger alltäglich als Silber- oder Lachmöwe.</x:v>
      </x:c>
      <x:c r="G53" s="9" t="str">
        <x:v>Deutschland / Norddeutschland</x:v>
      </x:c>
      <x:c r="H53" s="9" t="str">
        <x:v>https://www.dda-web.de/aktuelles/meldungen/voegel-in-deutschland-bestandssituation-2025</x:v>
      </x:c>
    </x:row>
    <x:row r="54">
      <x:c r="A54" s="9" t="str">
        <x:v>Mäusebussard</x:v>
      </x:c>
      <x:c r="B54" s="9" t="str">
        <x:v>Buteo buteo</x:v>
      </x:c>
      <x:c r="C54" s="9" t="str">
        <x:v>Common Buzzard</x:v>
      </x:c>
      <x:c r="D54" s="12" t="n">
        <x:v>2</x:v>
      </x:c>
      <x:c r="E54" s="9" t="str">
        <x:v>häufig</x:v>
      </x:c>
      <x:c r="F54" s="9" t="str">
        <x:v>Häufig, aber etwas stärker an Saison oder Lebensraum gebunden.</x:v>
      </x:c>
      <x:c r="G54" s="9" t="str">
        <x:v>Deutschland / Norddeutschland</x:v>
      </x:c>
      <x:c r="H54" s="9" t="str">
        <x:v>https://www.dda-web.de/aktuelles/meldungen/voegel-in-deutschland-bestandssituation-2025</x:v>
      </x:c>
    </x:row>
    <x:row r="55">
      <x:c r="A55" s="9" t="str">
        <x:v>Mönchsgrasmücke</x:v>
      </x:c>
      <x:c r="B55" s="9" t="str">
        <x:v>Sylvia atricapilla</x:v>
      </x:c>
      <x:c r="C55" s="9" t="str">
        <x:v>Eurasian Blackcap</x:v>
      </x:c>
      <x:c r="D55" s="12" t="n">
        <x:v>1</x:v>
      </x:c>
      <x:c r="E55" s="9" t="str">
        <x:v>sehr häufig</x:v>
      </x:c>
      <x:c r="F55" s="9" t="str">
        <x:v>Sehr häufig und weit verbreitet; meist ohne gezielte Suche zu finden.</x:v>
      </x:c>
      <x:c r="G55" s="9" t="str">
        <x:v>Deutschland / Norddeutschland</x:v>
      </x:c>
      <x:c r="H55" s="9" t="str">
        <x:v>https://www.dda-web.de/aktuelles/meldungen/voegel-in-deutschland-bestandssituation-2025</x:v>
      </x:c>
    </x:row>
    <x:row r="56">
      <x:c r="A56" s="9" t="str">
        <x:v>Nebelkrähe</x:v>
      </x:c>
      <x:c r="B56" s="9" t="str">
        <x:v>Corvus cornix</x:v>
      </x:c>
      <x:c r="C56" s="9" t="str">
        <x:v>Hooded Crow</x:v>
      </x:c>
      <x:c r="D56" s="12" t="n">
        <x:v>3</x:v>
      </x:c>
      <x:c r="E56" s="9" t="str">
        <x:v>regelmäßig / lokal</x:v>
      </x:c>
      <x:c r="F56" s="9" t="str">
        <x:v>Regelmäßig, aber regional/lokal oder mit gezielterem Habitatbesuch.</x:v>
      </x:c>
      <x:c r="G56" s="9" t="str">
        <x:v>Deutschland / Norddeutschland</x:v>
      </x:c>
      <x:c r="H56" s="9" t="str">
        <x:v>https://www.dda-web.de/aktuelles/meldungen/voegel-in-deutschland-bestandssituation-2025</x:v>
      </x:c>
    </x:row>
    <x:row r="57">
      <x:c r="A57" s="9" t="str">
        <x:v>Rabenkrähe</x:v>
      </x:c>
      <x:c r="B57" s="9" t="str">
        <x:v>Corvus corone</x:v>
      </x:c>
      <x:c r="C57" s="9" t="str">
        <x:v>Carrion Crow</x:v>
      </x:c>
      <x:c r="D57" s="12" t="n">
        <x:v>1</x:v>
      </x:c>
      <x:c r="E57" s="9" t="str">
        <x:v>sehr häufig</x:v>
      </x:c>
      <x:c r="F57" s="9" t="str">
        <x:v>Sehr häufig und weit verbreitet; meist ohne gezielte Suche zu finden.</x:v>
      </x:c>
      <x:c r="G57" s="9" t="str">
        <x:v>Deutschland / Norddeutschland</x:v>
      </x:c>
      <x:c r="H57" s="9" t="str">
        <x:v>https://www.dda-web.de/aktuelles/meldungen/voegel-in-deutschland-bestandssituation-2025</x:v>
      </x:c>
    </x:row>
    <x:row r="58">
      <x:c r="A58" s="9" t="str">
        <x:v>Rauchschwalbe</x:v>
      </x:c>
      <x:c r="B58" s="9" t="str">
        <x:v>Hirundo rustica</x:v>
      </x:c>
      <x:c r="C58" s="9" t="str">
        <x:v>Barn Swallow</x:v>
      </x:c>
      <x:c r="D58" s="12" t="n">
        <x:v>2</x:v>
      </x:c>
      <x:c r="E58" s="9" t="str">
        <x:v>häufig</x:v>
      </x:c>
      <x:c r="F58" s="9" t="str">
        <x:v>Häufig, aber etwas stärker an Saison oder Lebensraum gebunden.</x:v>
      </x:c>
      <x:c r="G58" s="9" t="str">
        <x:v>Deutschland / Norddeutschland</x:v>
      </x:c>
      <x:c r="H58" s="9" t="str">
        <x:v>https://www.dda-web.de/aktuelles/meldungen/voegel-in-deutschland-bestandssituation-2025</x:v>
      </x:c>
    </x:row>
    <x:row r="59">
      <x:c r="A59" s="9" t="str">
        <x:v>Ringeltaube</x:v>
      </x:c>
      <x:c r="B59" s="9" t="str">
        <x:v>Columba palumbus</x:v>
      </x:c>
      <x:c r="C59" s="9" t="str">
        <x:v>Common Wood-Pigeon</x:v>
      </x:c>
      <x:c r="D59" s="12" t="n">
        <x:v>1</x:v>
      </x:c>
      <x:c r="E59" s="9" t="str">
        <x:v>sehr häufig</x:v>
      </x:c>
      <x:c r="F59" s="9" t="str">
        <x:v>Sehr häufig und weit verbreitet; meist ohne gezielte Suche zu finden.</x:v>
      </x:c>
      <x:c r="G59" s="9" t="str">
        <x:v>Deutschland / Norddeutschland</x:v>
      </x:c>
      <x:c r="H59" s="9" t="str">
        <x:v>https://www.dda-web.de/aktuelles/meldungen/voegel-in-deutschland-bestandssituation-2025</x:v>
      </x:c>
    </x:row>
    <x:row r="60">
      <x:c r="A60" s="9" t="str">
        <x:v>Rohrammer</x:v>
      </x:c>
      <x:c r="B60" s="9" t="str">
        <x:v>Emberiza schoeniclus</x:v>
      </x:c>
      <x:c r="C60" s="9" t="str">
        <x:v>Reed Bunting</x:v>
      </x:c>
      <x:c r="D60" s="12" t="n">
        <x:v>3</x:v>
      </x:c>
      <x:c r="E60" s="9" t="str">
        <x:v>regelmäßig / lokal</x:v>
      </x:c>
      <x:c r="F60" s="9" t="str">
        <x:v>Regelmäßig, aber regional/lokal oder mit gezielterem Habitatbesuch.</x:v>
      </x:c>
      <x:c r="G60" s="9" t="str">
        <x:v>Deutschland / Norddeutschland</x:v>
      </x:c>
      <x:c r="H60" s="9" t="str">
        <x:v>https://www.dda-web.de/aktuelles/meldungen/voegel-in-deutschland-bestandssituation-2025</x:v>
      </x:c>
    </x:row>
    <x:row r="61">
      <x:c r="A61" s="9" t="str">
        <x:v>Rotkehlchen</x:v>
      </x:c>
      <x:c r="B61" s="9" t="str">
        <x:v>Erithacus rubecula</x:v>
      </x:c>
      <x:c r="C61" s="9" t="str">
        <x:v>European Robin</x:v>
      </x:c>
      <x:c r="D61" s="12" t="n">
        <x:v>1</x:v>
      </x:c>
      <x:c r="E61" s="9" t="str">
        <x:v>sehr häufig</x:v>
      </x:c>
      <x:c r="F61" s="9" t="str">
        <x:v>Sehr häufig und weit verbreitet; meist ohne gezielte Suche zu finden.</x:v>
      </x:c>
      <x:c r="G61" s="9" t="str">
        <x:v>Deutschland / Norddeutschland</x:v>
      </x:c>
      <x:c r="H61" s="9" t="str">
        <x:v>https://www.dda-web.de/aktuelles/meldungen/voegel-in-deutschland-bestandssituation-2025</x:v>
      </x:c>
    </x:row>
    <x:row r="62">
      <x:c r="A62" s="9" t="str">
        <x:v>Rotschenkel</x:v>
      </x:c>
      <x:c r="B62" s="9" t="str">
        <x:v>Tringa totanus</x:v>
      </x:c>
      <x:c r="C62" s="9" t="str">
        <x:v>Common Redshank</x:v>
      </x:c>
      <x:c r="D62" s="12" t="n">
        <x:v>5</x:v>
      </x:c>
      <x:c r="E62" s="9" t="str">
        <x:v>ungewöhnlich</x:v>
      </x:c>
      <x:c r="F62" s="9" t="str">
        <x:v>Vor allem in Küsten- und Feuchtgebieten; regional deutlich begrenzt.</x:v>
      </x:c>
      <x:c r="G62" s="9" t="str">
        <x:v>Deutschland / Norddeutschland</x:v>
      </x:c>
      <x:c r="H62" s="9" t="str">
        <x:v>https://www.dda-web.de/aktuelles/meldungen/voegel-in-deutschland-bestandssituation-2025</x:v>
      </x:c>
    </x:row>
    <x:row r="63">
      <x:c r="A63" s="9" t="str">
        <x:v>Saatkrähe</x:v>
      </x:c>
      <x:c r="B63" s="9" t="str">
        <x:v>Corvus frugilegus</x:v>
      </x:c>
      <x:c r="C63" s="9" t="str">
        <x:v>Rook</x:v>
      </x:c>
      <x:c r="D63" s="12" t="n">
        <x:v>3</x:v>
      </x:c>
      <x:c r="E63" s="9" t="str">
        <x:v>regelmäßig / lokal</x:v>
      </x:c>
      <x:c r="F63" s="9" t="str">
        <x:v>Regelmäßig, aber regional/lokal oder mit gezielterem Habitatbesuch.</x:v>
      </x:c>
      <x:c r="G63" s="9" t="str">
        <x:v>Deutschland / Norddeutschland</x:v>
      </x:c>
      <x:c r="H63" s="9" t="str">
        <x:v>https://www.dda-web.de/aktuelles/meldungen/voegel-in-deutschland-bestandssituation-2025</x:v>
      </x:c>
    </x:row>
    <x:row r="64">
      <x:c r="A64" s="9" t="str">
        <x:v>Sanderling</x:v>
      </x:c>
      <x:c r="B64" s="9" t="str">
        <x:v>Calidris alba</x:v>
      </x:c>
      <x:c r="C64" s="9" t="str">
        <x:v>Sanderling</x:v>
      </x:c>
      <x:c r="D64" s="12" t="n">
        <x:v>5</x:v>
      </x:c>
      <x:c r="E64" s="9" t="str">
        <x:v>ungewöhnlich</x:v>
      </x:c>
      <x:c r="F64" s="9" t="str">
        <x:v>Typischer Küsten- und Zugvogel; außerhalb passender Orte und Zeiten kaum zu erwarten.</x:v>
      </x:c>
      <x:c r="G64" s="9" t="str">
        <x:v>Deutschland / Norddeutschland</x:v>
      </x:c>
      <x:c r="H64" s="9" t="str">
        <x:v>https://www.dda-web.de/aktuelles/meldungen/voegel-in-deutschland-bestandssituation-2025</x:v>
      </x:c>
    </x:row>
    <x:row r="65">
      <x:c r="A65" s="9" t="str">
        <x:v>Sandregenpfeifer</x:v>
      </x:c>
      <x:c r="B65" s="9" t="str">
        <x:v>Charadrius hiaticula</x:v>
      </x:c>
      <x:c r="C65" s="9" t="str">
        <x:v>Common Ringed Plover</x:v>
      </x:c>
      <x:c r="D65" s="12" t="n">
        <x:v>5</x:v>
      </x:c>
      <x:c r="E65" s="9" t="str">
        <x:v>ungewöhnlich</x:v>
      </x:c>
      <x:c r="F65" s="9" t="str">
        <x:v>Küsten- und Feuchtgebietsart mit deutlich begrenzterer Verbreitung als häufige Stadt-/Waldarten.</x:v>
      </x:c>
      <x:c r="G65" s="9" t="str">
        <x:v>Deutschland / Norddeutschland</x:v>
      </x:c>
      <x:c r="H65" s="9" t="str">
        <x:v>https://www.dda-web.de/aktuelles/meldungen/voegel-in-deutschland-bestandssituation-2025</x:v>
      </x:c>
    </x:row>
    <x:row r="66">
      <x:c r="A66" s="9" t="str">
        <x:v>Schafstelze</x:v>
      </x:c>
      <x:c r="B66" s="9" t="str">
        <x:v>Motacilla flava</x:v>
      </x:c>
      <x:c r="C66" s="9" t="str">
        <x:v>Western Yellow Wagtail</x:v>
      </x:c>
      <x:c r="D66" s="12" t="n">
        <x:v>3</x:v>
      </x:c>
      <x:c r="E66" s="9" t="str">
        <x:v>regelmäßig / lokal</x:v>
      </x:c>
      <x:c r="F66" s="9" t="str">
        <x:v>Regelmäßig, aber regional/lokal oder mit gezielterem Habitatbesuch.</x:v>
      </x:c>
      <x:c r="G66" s="9" t="str">
        <x:v>Deutschland / Norddeutschland</x:v>
      </x:c>
      <x:c r="H66" s="9" t="str">
        <x:v>https://www.dda-web.de/aktuelles/meldungen/voegel-in-deutschland-bestandssituation-2025</x:v>
      </x:c>
    </x:row>
    <x:row r="67">
      <x:c r="A67" s="9" t="str">
        <x:v>Schilfrohrsänger</x:v>
      </x:c>
      <x:c r="B67" s="9" t="str">
        <x:v>Acrocephalus schoenobaenus</x:v>
      </x:c>
      <x:c r="C67" s="9" t="str">
        <x:v>Sedge Warbler</x:v>
      </x:c>
      <x:c r="D67" s="12" t="n">
        <x:v>4</x:v>
      </x:c>
      <x:c r="E67" s="9" t="str">
        <x:v>besonders</x:v>
      </x:c>
      <x:c r="F67" s="9" t="str">
        <x:v>Deutlich besonderer Fund; nicht flächig bzw. nur zu passenden Zeiten oder Habitaten.</x:v>
      </x:c>
      <x:c r="G67" s="9" t="str">
        <x:v>Deutschland / Norddeutschland</x:v>
      </x:c>
      <x:c r="H67" s="9" t="str">
        <x:v>https://www.dda-web.de/aktuelles/meldungen/voegel-in-deutschland-bestandssituation-2025</x:v>
      </x:c>
    </x:row>
    <x:row r="68">
      <x:c r="A68" s="9" t="str">
        <x:v>Schwarzspecht</x:v>
      </x:c>
      <x:c r="B68" s="9" t="str">
        <x:v>Dryocopus martius</x:v>
      </x:c>
      <x:c r="C68" s="9" t="str">
        <x:v>Black Woodpecker</x:v>
      </x:c>
      <x:c r="D68" s="12" t="n">
        <x:v>5</x:v>
      </x:c>
      <x:c r="E68" s="9" t="str">
        <x:v>ungewöhnlich</x:v>
      </x:c>
      <x:c r="F68" s="9" t="str">
        <x:v>Nicht extrem selten, aber an große Waldgebiete gebunden und deutlich weniger alltäglich.</x:v>
      </x:c>
      <x:c r="G68" s="9" t="str">
        <x:v>Deutschland / Norddeutschland</x:v>
      </x:c>
      <x:c r="H68" s="9" t="str">
        <x:v>https://www.dda-web.de/aktuelles/meldungen/voegel-in-deutschland-bestandssituation-2025</x:v>
      </x:c>
    </x:row>
    <x:row r="69">
      <x:c r="A69" s="9" t="str">
        <x:v>Silbermöwe</x:v>
      </x:c>
      <x:c r="B69" s="9" t="str">
        <x:v>Larus argentatus</x:v>
      </x:c>
      <x:c r="C69" s="9" t="str">
        <x:v>European Herring Gull</x:v>
      </x:c>
      <x:c r="D69" s="12" t="n">
        <x:v>2</x:v>
      </x:c>
      <x:c r="E69" s="9" t="str">
        <x:v>häufig</x:v>
      </x:c>
      <x:c r="F69" s="9" t="str">
        <x:v>Häufig, aber etwas stärker an Saison oder Lebensraum gebunden.</x:v>
      </x:c>
      <x:c r="G69" s="9" t="str">
        <x:v>Deutschland / Norddeutschland</x:v>
      </x:c>
      <x:c r="H69" s="9" t="str">
        <x:v>https://www.dda-web.de/aktuelles/meldungen/voegel-in-deutschland-bestandssituation-2025</x:v>
      </x:c>
    </x:row>
    <x:row r="70">
      <x:c r="A70" s="9" t="str">
        <x:v>Singdrossel</x:v>
      </x:c>
      <x:c r="B70" s="9" t="str">
        <x:v>Turdus philomelos</x:v>
      </x:c>
      <x:c r="C70" s="9" t="str">
        <x:v>Song Thrush</x:v>
      </x:c>
      <x:c r="D70" s="12" t="n">
        <x:v>2</x:v>
      </x:c>
      <x:c r="E70" s="9" t="str">
        <x:v>häufig</x:v>
      </x:c>
      <x:c r="F70" s="9" t="str">
        <x:v>Häufig, aber etwas stärker an Saison oder Lebensraum gebunden.</x:v>
      </x:c>
      <x:c r="G70" s="9" t="str">
        <x:v>Deutschland / Norddeutschland</x:v>
      </x:c>
      <x:c r="H70" s="9" t="str">
        <x:v>https://www.dda-web.de/aktuelles/meldungen/voegel-in-deutschland-bestandssituation-2025</x:v>
      </x:c>
    </x:row>
    <x:row r="71">
      <x:c r="A71" s="9" t="str">
        <x:v>Sommergoldhähnchen</x:v>
      </x:c>
      <x:c r="B71" s="9" t="str">
        <x:v>Regulus ignicapilla</x:v>
      </x:c>
      <x:c r="C71" s="9" t="str">
        <x:v>Common Firecrest</x:v>
      </x:c>
      <x:c r="D71" s="12" t="n">
        <x:v>4</x:v>
      </x:c>
      <x:c r="E71" s="9" t="str">
        <x:v>besonders</x:v>
      </x:c>
      <x:c r="F71" s="9" t="str">
        <x:v>Deutlich besonderer Fund; nicht flächig bzw. nur zu passenden Zeiten oder Habitaten.</x:v>
      </x:c>
      <x:c r="G71" s="9" t="str">
        <x:v>Deutschland / Norddeutschland</x:v>
      </x:c>
      <x:c r="H71" s="9" t="str">
        <x:v>https://www.dda-web.de/aktuelles/meldungen/voegel-in-deutschland-bestandssituation-2025</x:v>
      </x:c>
    </x:row>
    <x:row r="72">
      <x:c r="A72" s="9" t="str">
        <x:v>Sperber</x:v>
      </x:c>
      <x:c r="B72" s="9" t="str">
        <x:v>Accipiter nisus</x:v>
      </x:c>
      <x:c r="C72" s="9" t="str">
        <x:v>Eurasian Sparrowhawk</x:v>
      </x:c>
      <x:c r="D72" s="12" t="n">
        <x:v>4</x:v>
      </x:c>
      <x:c r="E72" s="9" t="str">
        <x:v>besonders</x:v>
      </x:c>
      <x:c r="F72" s="9" t="str">
        <x:v>Deutlich besonderer Fund; nicht flächig bzw. nur zu passenden Zeiten oder Habitaten.</x:v>
      </x:c>
      <x:c r="G72" s="9" t="str">
        <x:v>Deutschland / Norddeutschland</x:v>
      </x:c>
      <x:c r="H72" s="9" t="str">
        <x:v>https://www.dda-web.de/aktuelles/meldungen/voegel-in-deutschland-bestandssituation-2025</x:v>
      </x:c>
    </x:row>
    <x:row r="73">
      <x:c r="A73" s="9" t="str">
        <x:v>Star</x:v>
      </x:c>
      <x:c r="B73" s="9" t="str">
        <x:v>Sturnus vulgaris</x:v>
      </x:c>
      <x:c r="C73" s="9" t="str">
        <x:v>European Starling</x:v>
      </x:c>
      <x:c r="D73" s="12" t="n">
        <x:v>1</x:v>
      </x:c>
      <x:c r="E73" s="9" t="str">
        <x:v>sehr häufig</x:v>
      </x:c>
      <x:c r="F73" s="9" t="str">
        <x:v>Sehr häufig und weit verbreitet; meist ohne gezielte Suche zu finden.</x:v>
      </x:c>
      <x:c r="G73" s="9" t="str">
        <x:v>Deutschland / Norddeutschland</x:v>
      </x:c>
      <x:c r="H73" s="9" t="str">
        <x:v>https://www.dda-web.de/aktuelles/meldungen/voegel-in-deutschland-bestandssituation-2025</x:v>
      </x:c>
    </x:row>
    <x:row r="74">
      <x:c r="A74" s="9" t="str">
        <x:v>Steinschmätzer</x:v>
      </x:c>
      <x:c r="B74" s="9" t="str">
        <x:v>Oenanthe oenanthe</x:v>
      </x:c>
      <x:c r="C74" s="9" t="str">
        <x:v>Northern Wheatear</x:v>
      </x:c>
      <x:c r="D74" s="12" t="n">
        <x:v>5</x:v>
      </x:c>
      <x:c r="E74" s="9" t="str">
        <x:v>ungewöhnlich</x:v>
      </x:c>
      <x:c r="F74" s="9" t="str">
        <x:v>Ungewöhnlicher Fund; meist gezielte Suche, passendes Habitat oder Zugzeit nötig.</x:v>
      </x:c>
      <x:c r="G74" s="9" t="str">
        <x:v>Deutschland / Norddeutschland</x:v>
      </x:c>
      <x:c r="H74" s="9" t="str">
        <x:v>https://www.dda-web.de/aktuelles/meldungen/voegel-in-deutschland-bestandssituation-2025</x:v>
      </x:c>
    </x:row>
    <x:row r="75">
      <x:c r="A75" s="9" t="str">
        <x:v>Stieglitz</x:v>
      </x:c>
      <x:c r="B75" s="9" t="str">
        <x:v>Carduelis carduelis</x:v>
      </x:c>
      <x:c r="C75" s="9" t="str">
        <x:v>European Goldfinch</x:v>
      </x:c>
      <x:c r="D75" s="12" t="n">
        <x:v>2</x:v>
      </x:c>
      <x:c r="E75" s="9" t="str">
        <x:v>häufig</x:v>
      </x:c>
      <x:c r="F75" s="9" t="str">
        <x:v>Häufig, aber etwas stärker an Saison oder Lebensraum gebunden.</x:v>
      </x:c>
      <x:c r="G75" s="9" t="str">
        <x:v>Deutschland / Norddeutschland</x:v>
      </x:c>
      <x:c r="H75" s="9" t="str">
        <x:v>https://www.dda-web.de/aktuelles/meldungen/voegel-in-deutschland-bestandssituation-2025</x:v>
      </x:c>
    </x:row>
    <x:row r="76">
      <x:c r="A76" s="9" t="str">
        <x:v>Stockente</x:v>
      </x:c>
      <x:c r="B76" s="9" t="str">
        <x:v>Anas platyrhynchos</x:v>
      </x:c>
      <x:c r="C76" s="9" t="str">
        <x:v>Mallard</x:v>
      </x:c>
      <x:c r="D76" s="12" t="n">
        <x:v>1</x:v>
      </x:c>
      <x:c r="E76" s="9" t="str">
        <x:v>sehr häufig</x:v>
      </x:c>
      <x:c r="F76" s="9" t="str">
        <x:v>Sehr häufig und weit verbreitet; meist ohne gezielte Suche zu finden.</x:v>
      </x:c>
      <x:c r="G76" s="9" t="str">
        <x:v>Deutschland / Norddeutschland</x:v>
      </x:c>
      <x:c r="H76" s="9" t="str">
        <x:v>https://www.dda-web.de/aktuelles/meldungen/voegel-in-deutschland-bestandssituation-2025</x:v>
      </x:c>
    </x:row>
    <x:row r="77">
      <x:c r="A77" s="9" t="str">
        <x:v>Sturmmöwe</x:v>
      </x:c>
      <x:c r="B77" s="9" t="str">
        <x:v>Larus canus</x:v>
      </x:c>
      <x:c r="C77" s="9" t="str">
        <x:v>Common Gull</x:v>
      </x:c>
      <x:c r="D77" s="12" t="n">
        <x:v>3</x:v>
      </x:c>
      <x:c r="E77" s="9" t="str">
        <x:v>regelmäßig / lokal</x:v>
      </x:c>
      <x:c r="F77" s="9" t="str">
        <x:v>Regelmäßig, aber regional/lokal oder mit gezielterem Habitatbesuch.</x:v>
      </x:c>
      <x:c r="G77" s="9" t="str">
        <x:v>Deutschland / Norddeutschland</x:v>
      </x:c>
      <x:c r="H77" s="9" t="str">
        <x:v>https://www.dda-web.de/aktuelles/meldungen/voegel-in-deutschland-bestandssituation-2025</x:v>
      </x:c>
    </x:row>
    <x:row r="78">
      <x:c r="A78" s="9" t="str">
        <x:v>Sumpfmeise</x:v>
      </x:c>
      <x:c r="B78" s="9" t="str">
        <x:v>Poecile palustris</x:v>
      </x:c>
      <x:c r="C78" s="9" t="str">
        <x:v>Marsh Tit</x:v>
      </x:c>
      <x:c r="D78" s="12" t="n">
        <x:v>3</x:v>
      </x:c>
      <x:c r="E78" s="9" t="str">
        <x:v>regelmäßig / lokal</x:v>
      </x:c>
      <x:c r="F78" s="9" t="str">
        <x:v>Regelmäßig, aber regional/lokal oder mit gezielterem Habitatbesuch.</x:v>
      </x:c>
      <x:c r="G78" s="9" t="str">
        <x:v>Deutschland / Norddeutschland</x:v>
      </x:c>
      <x:c r="H78" s="9" t="str">
        <x:v>https://www.dda-web.de/aktuelles/meldungen/voegel-in-deutschland-bestandssituation-2025</x:v>
      </x:c>
    </x:row>
    <x:row r="79">
      <x:c r="A79" s="9" t="str">
        <x:v>Tannenmeise</x:v>
      </x:c>
      <x:c r="B79" s="9" t="str">
        <x:v>Periparus ater</x:v>
      </x:c>
      <x:c r="C79" s="9" t="str">
        <x:v>Coal Tit</x:v>
      </x:c>
      <x:c r="D79" s="12" t="n">
        <x:v>2</x:v>
      </x:c>
      <x:c r="E79" s="9" t="str">
        <x:v>häufig</x:v>
      </x:c>
      <x:c r="F79" s="9" t="str">
        <x:v>Häufig, aber etwas stärker an Saison oder Lebensraum gebunden.</x:v>
      </x:c>
      <x:c r="G79" s="9" t="str">
        <x:v>Deutschland / Norddeutschland</x:v>
      </x:c>
      <x:c r="H79" s="9" t="str">
        <x:v>https://www.dda-web.de/aktuelles/meldungen/voegel-in-deutschland-bestandssituation-2025</x:v>
      </x:c>
    </x:row>
    <x:row r="80">
      <x:c r="A80" s="9" t="str">
        <x:v>Teichhuhn</x:v>
      </x:c>
      <x:c r="B80" s="9" t="str">
        <x:v>Gallinula chloropus</x:v>
      </x:c>
      <x:c r="C80" s="9" t="str">
        <x:v>Eurasian Moorhen</x:v>
      </x:c>
      <x:c r="D80" s="12" t="n">
        <x:v>3</x:v>
      </x:c>
      <x:c r="E80" s="9" t="str">
        <x:v>regelmäßig / lokal</x:v>
      </x:c>
      <x:c r="F80" s="9" t="str">
        <x:v>Regelmäßig, aber regional/lokal oder mit gezielterem Habitatbesuch.</x:v>
      </x:c>
      <x:c r="G80" s="9" t="str">
        <x:v>Deutschland / Norddeutschland</x:v>
      </x:c>
      <x:c r="H80" s="9" t="str">
        <x:v>https://www.dda-web.de/aktuelles/meldungen/voegel-in-deutschland-bestandssituation-2025</x:v>
      </x:c>
    </x:row>
    <x:row r="81">
      <x:c r="A81" s="9" t="str">
        <x:v>Turmfalke</x:v>
      </x:c>
      <x:c r="B81" s="9" t="str">
        <x:v>Falco tinnunculus</x:v>
      </x:c>
      <x:c r="C81" s="9" t="str">
        <x:v>Eurasian Kestrel</x:v>
      </x:c>
      <x:c r="D81" s="12" t="n">
        <x:v>2</x:v>
      </x:c>
      <x:c r="E81" s="9" t="str">
        <x:v>häufig</x:v>
      </x:c>
      <x:c r="F81" s="9" t="str">
        <x:v>Häufig, aber etwas stärker an Saison oder Lebensraum gebunden.</x:v>
      </x:c>
      <x:c r="G81" s="9" t="str">
        <x:v>Deutschland / Norddeutschland</x:v>
      </x:c>
      <x:c r="H81" s="9" t="str">
        <x:v>https://www.dda-web.de/aktuelles/meldungen/voegel-in-deutschland-bestandssituation-2025</x:v>
      </x:c>
    </x:row>
    <x:row r="82">
      <x:c r="A82" s="9" t="str">
        <x:v>Türkentaube</x:v>
      </x:c>
      <x:c r="B82" s="9" t="str">
        <x:v>Streptopelia decaocto</x:v>
      </x:c>
      <x:c r="C82" s="9" t="str">
        <x:v>Eurasian Collared-Dove</x:v>
      </x:c>
      <x:c r="D82" s="12" t="n">
        <x:v>1</x:v>
      </x:c>
      <x:c r="E82" s="9" t="str">
        <x:v>sehr häufig</x:v>
      </x:c>
      <x:c r="F82" s="9" t="str">
        <x:v>Sehr häufig und weit verbreitet; meist ohne gezielte Suche zu finden.</x:v>
      </x:c>
      <x:c r="G82" s="9" t="str">
        <x:v>Deutschland / Norddeutschland</x:v>
      </x:c>
      <x:c r="H82" s="9" t="str">
        <x:v>https://www.dda-web.de/aktuelles/meldungen/voegel-in-deutschland-bestandssituation-2025</x:v>
      </x:c>
    </x:row>
    <x:row r="83">
      <x:c r="A83" s="9" t="str">
        <x:v>Waldlaubsänger</x:v>
      </x:c>
      <x:c r="B83" s="9" t="str">
        <x:v>Phylloscopus sibilatrix</x:v>
      </x:c>
      <x:c r="C83" s="9" t="str">
        <x:v>Wood Warbler</x:v>
      </x:c>
      <x:c r="D83" s="12" t="n">
        <x:v>5</x:v>
      </x:c>
      <x:c r="E83" s="9" t="str">
        <x:v>ungewöhnlich</x:v>
      </x:c>
      <x:c r="F83" s="9" t="str">
        <x:v>Waldgebundener, regional rückläufiger Zugvogel; deutlich weniger alltäglich als Zilpzalp/Fitis.</x:v>
      </x:c>
      <x:c r="G83" s="9" t="str">
        <x:v>Deutschland / Norddeutschland</x:v>
      </x:c>
      <x:c r="H83" s="9" t="str">
        <x:v>https://www.dda-web.de/aktuelles/meldungen/voegel-in-deutschland-bestandssituation-2025</x:v>
      </x:c>
    </x:row>
    <x:row r="84">
      <x:c r="A84" s="9" t="str">
        <x:v>Waldohreule</x:v>
      </x:c>
      <x:c r="B84" s="9" t="str">
        <x:v>Asio otus</x:v>
      </x:c>
      <x:c r="C84" s="9" t="str">
        <x:v>Long-eared Owl</x:v>
      </x:c>
      <x:c r="D84" s="12" t="n">
        <x:v>7</x:v>
      </x:c>
      <x:c r="E84" s="9" t="str">
        <x:v>sehr selten, aber regelmäßig</x:v>
      </x:c>
      <x:c r="F84" s="9" t="str">
        <x:v>Nachtaktiv und trotz weiter Verbreitung schwer gezielt akustisch zu erwischen.</x:v>
      </x:c>
      <x:c r="G84" s="9" t="str">
        <x:v>Deutschland / Norddeutschland</x:v>
      </x:c>
      <x:c r="H84" s="9" t="str">
        <x:v>https://www.dda-web.de/aktuelles/meldungen/voegel-in-deutschland-bestandssituation-2025</x:v>
      </x:c>
    </x:row>
    <x:row r="85">
      <x:c r="A85" s="9" t="str">
        <x:v>Wiesenpieper</x:v>
      </x:c>
      <x:c r="B85" s="9" t="str">
        <x:v>Anthus pratensis</x:v>
      </x:c>
      <x:c r="C85" s="9" t="str">
        <x:v>Meadow Pipit</x:v>
      </x:c>
      <x:c r="D85" s="12" t="n">
        <x:v>3</x:v>
      </x:c>
      <x:c r="E85" s="9" t="str">
        <x:v>regelmäßig / lokal</x:v>
      </x:c>
      <x:c r="F85" s="9" t="str">
        <x:v>Regelmäßig, aber regional/lokal oder mit gezielterem Habitatbesuch.</x:v>
      </x:c>
      <x:c r="G85" s="9" t="str">
        <x:v>Deutschland / Norddeutschland</x:v>
      </x:c>
      <x:c r="H85" s="9" t="str">
        <x:v>https://www.dda-web.de/aktuelles/meldungen/voegel-in-deutschland-bestandssituation-2025</x:v>
      </x:c>
    </x:row>
    <x:row r="86">
      <x:c r="A86" s="9" t="str">
        <x:v>Wintergoldhähnchen</x:v>
      </x:c>
      <x:c r="B86" s="9" t="str">
        <x:v>Regulus regulus</x:v>
      </x:c>
      <x:c r="C86" s="9" t="str">
        <x:v>Goldcrest</x:v>
      </x:c>
      <x:c r="D86" s="12" t="n">
        <x:v>3</x:v>
      </x:c>
      <x:c r="E86" s="9" t="str">
        <x:v>regelmäßig / lokal</x:v>
      </x:c>
      <x:c r="F86" s="9" t="str">
        <x:v>Regelmäßig, aber regional/lokal oder mit gezielterem Habitatbesuch.</x:v>
      </x:c>
      <x:c r="G86" s="9" t="str">
        <x:v>Deutschland / Norddeutschland</x:v>
      </x:c>
      <x:c r="H86" s="9" t="str">
        <x:v>https://www.dda-web.de/aktuelles/meldungen/voegel-in-deutschland-bestandssituation-2025</x:v>
      </x:c>
    </x:row>
    <x:row r="87">
      <x:c r="A87" s="9" t="str">
        <x:v>Zaunkönig</x:v>
      </x:c>
      <x:c r="B87" s="9" t="str">
        <x:v>Troglodytes troglodytes</x:v>
      </x:c>
      <x:c r="C87" s="9" t="str">
        <x:v>Eurasian Wren</x:v>
      </x:c>
      <x:c r="D87" s="12" t="n">
        <x:v>1</x:v>
      </x:c>
      <x:c r="E87" s="9" t="str">
        <x:v>sehr häufig</x:v>
      </x:c>
      <x:c r="F87" s="9" t="str">
        <x:v>Sehr häufig und weit verbreitet; meist ohne gezielte Suche zu finden.</x:v>
      </x:c>
      <x:c r="G87" s="9" t="str">
        <x:v>Deutschland / Norddeutschland</x:v>
      </x:c>
      <x:c r="H87" s="9" t="str">
        <x:v>https://www.dda-web.de/aktuelles/meldungen/voegel-in-deutschland-bestandssituation-2025</x:v>
      </x:c>
    </x:row>
    <x:row r="88">
      <x:c r="A88" s="9" t="str">
        <x:v>Zilpzalp</x:v>
      </x:c>
      <x:c r="B88" s="9" t="str">
        <x:v>Phylloscopus collybita</x:v>
      </x:c>
      <x:c r="C88" s="9" t="str">
        <x:v>Common Chiffchaff</x:v>
      </x:c>
      <x:c r="D88" s="12" t="n">
        <x:v>1</x:v>
      </x:c>
      <x:c r="E88" s="9" t="str">
        <x:v>sehr häufig</x:v>
      </x:c>
      <x:c r="F88" s="9" t="str">
        <x:v>Sehr häufig und weit verbreitet; meist ohne gezielte Suche zu finden.</x:v>
      </x:c>
      <x:c r="G88" s="9" t="str">
        <x:v>Deutschland / Norddeutschland</x:v>
      </x:c>
      <x:c r="H88" s="9" t="str">
        <x:v>https://www.dda-web.de/aktuelles/meldungen/voegel-in-deutschland-bestandssituation-2025</x:v>
      </x:c>
    </x:row>
  </x:sheetData>
  <x:conditionalFormatting sqref="D2:D88">
    <x:cfRule type="colorScale" priority="1">
      <x:colorScale>
        <x:cfvo type="min"/>
        <x:cfvo type="percentile" val="50"/>
        <x:cfvo type="max"/>
        <x:color rgb="FFE9F2EA"/>
        <x:color rgb="FFF4E8B7"/>
        <x:color rgb="FFE0B6A1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2e435f9fcc446c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55" hidden="0" customWidth="1"/>
    <x:col min="4" max="4" width="38" hidden="0" customWidth="1"/>
  </x:cols>
  <x:sheetData>
    <x:row r="1">
      <x:c r="A1" s="8" t="str">
        <x:v>Punkte</x:v>
      </x:c>
      <x:c r="B1" s="8" t="str">
        <x:v>Bedeutung</x:v>
      </x:c>
      <x:c r="C1" s="8" t="str">
        <x:v>BirdLeague-Interpretation</x:v>
      </x:c>
      <x:c r="D1" s="8" t="str">
        <x:v>Hinweis</x:v>
      </x:c>
    </x:row>
    <x:row r="2">
      <x:c r="A2" s="9" t="n">
        <x:v>1</x:v>
      </x:c>
      <x:c r="B2" s="9" t="str">
        <x:v>sehr häufig</x:v>
      </x:c>
      <x:c r="C2" s="9" t="str">
        <x:v>weit verbreitet und meist ohne gezielte Suche auffindbar</x:v>
      </x:c>
      <x:c r="D2" s="9" t="str"/>
    </x:row>
    <x:row r="3">
      <x:c r="A3" s="9" t="n">
        <x:v>2</x:v>
      </x:c>
      <x:c r="B3" s="9" t="str">
        <x:v>häufig</x:v>
      </x:c>
      <x:c r="C3" s="9" t="str">
        <x:v>häufig, aber saisonaler oder etwas habitatgebundener</x:v>
      </x:c>
      <x:c r="D3" s="9" t="str"/>
    </x:row>
    <x:row r="4">
      <x:c r="A4" s="9" t="n">
        <x:v>3</x:v>
      </x:c>
      <x:c r="B4" s="9" t="str">
        <x:v>regelmäßig / lokal</x:v>
      </x:c>
      <x:c r="C4" s="9" t="str">
        <x:v>regelmäßig, aber regionaler oder gezielter zu finden</x:v>
      </x:c>
      <x:c r="D4" s="9" t="str"/>
    </x:row>
    <x:row r="5">
      <x:c r="A5" s="9" t="n">
        <x:v>4</x:v>
      </x:c>
      <x:c r="B5" s="9" t="str">
        <x:v>besonders</x:v>
      </x:c>
      <x:c r="C5" s="9" t="str">
        <x:v>deutlich besonderer Fund</x:v>
      </x:c>
      <x:c r="D5" s="9" t="str"/>
    </x:row>
    <x:row r="6">
      <x:c r="A6" s="9" t="n">
        <x:v>5</x:v>
      </x:c>
      <x:c r="B6" s="9" t="str">
        <x:v>ungewöhnlich</x:v>
      </x:c>
      <x:c r="C6" s="9" t="str">
        <x:v>meist passende Zugzeit / Habitat / gezielte Suche nötig</x:v>
      </x:c>
      <x:c r="D6" s="9" t="str"/>
    </x:row>
    <x:row r="7">
      <x:c r="A7" s="9" t="n">
        <x:v>6</x:v>
      </x:c>
      <x:c r="B7" s="9" t="str">
        <x:v>selten / stark lokalisiert</x:v>
      </x:c>
      <x:c r="C7" s="9" t="str">
        <x:v>klar besonderer BirdLeague-Fund</x:v>
      </x:c>
      <x:c r="D7" s="9" t="str"/>
    </x:row>
    <x:row r="8">
      <x:c r="A8" s="9" t="n">
        <x:v>7</x:v>
      </x:c>
      <x:c r="B8" s="9" t="str">
        <x:v>sehr selten, aber regelmäßig</x:v>
      </x:c>
      <x:c r="C8" s="9" t="str">
        <x:v>nur begrenzte regelmäßige Chancen in Deutschland/Norddeutschland</x:v>
      </x:c>
      <x:c r="D8" s="9" t="str"/>
    </x:row>
    <x:row r="9">
      <x:c r="A9" s="9" t="n">
        <x:v>8</x:v>
      </x:c>
      <x:c r="B9" s="9" t="str">
        <x:v>sehr selten</x:v>
      </x:c>
      <x:c r="C9" s="9" t="str">
        <x:v>nur wenige realistische Gelegenheiten pro Jahr</x:v>
      </x:c>
      <x:c r="D9" s="9" t="str">
        <x:v>aktuell keine der 87 Arten</x:v>
      </x:c>
    </x:row>
    <x:row r="10">
      <x:c r="A10" s="9" t="n">
        <x:v>9</x:v>
      </x:c>
      <x:c r="B10" s="9" t="str">
        <x:v>außergewöhnlich</x:v>
      </x:c>
      <x:c r="C10" s="9" t="str">
        <x:v>starker Seltenheitscharakter</x:v>
      </x:c>
      <x:c r="D10" s="9" t="str">
        <x:v>aktuell keine der 87 Arten</x:v>
      </x:c>
    </x:row>
    <x:row r="11">
      <x:c r="A11" s="9" t="n">
        <x:v>10</x:v>
      </x:c>
      <x:c r="B11" s="9" t="str">
        <x:v>extrem selten</x:v>
      </x:c>
      <x:c r="C11" s="9" t="str">
        <x:v>knapp unter der Raritäten-Sonderstufe</x:v>
      </x:c>
      <x:c r="D11" s="9" t="str">
        <x:v>aktuell keine der 87 Arten</x:v>
      </x:c>
    </x:row>
    <x:row r="12">
      <x:c r="A12" s="9" t="n">
        <x:v>15</x:v>
      </x:c>
      <x:c r="B12" s="9" t="str">
        <x:v>echte Rarität</x:v>
      </x:c>
      <x:c r="C12" s="9" t="str">
        <x:v>außergewöhnlicher Nachweis</x:v>
      </x:c>
      <x:c r="D12" s="9" t="str">
        <x:v>zusätzliche Dokumentation/Prüfung empfohlen</x:v>
      </x:c>
    </x:row>
  </x:sheetData>
  <x:pageMargins left="0.7" right="0.7" top="0.75" bottom="0.75" header="0.3" footer="0.3"/>
  <x:tableParts count="1">
    <x:tablePart xmlns:r="http://schemas.openxmlformats.org/officeDocument/2006/relationships" r:id="R29d31809f1fe48d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5" hidden="0" customWidth="1"/>
    <x:col min="3" max="3" width="10" hidden="0" customWidth="1"/>
    <x:col min="4" max="4" width="15" hidden="0" customWidth="1"/>
    <x:col min="5" max="5" width="42" hidden="0" customWidth="1"/>
    <x:col min="6" max="6" width="16" hidden="0" customWidth="1"/>
  </x:cols>
  <x:sheetData>
    <x:row r="1">
      <x:c r="A1" s="8" t="str">
        <x:v>Deutscher Name</x:v>
      </x:c>
      <x:c r="B1" s="8" t="str">
        <x:v>Wissenschaftlicher Name</x:v>
      </x:c>
      <x:c r="C1" s="8" t="str">
        <x:v>Punkte</x:v>
      </x:c>
      <x:c r="D1" s="8" t="str">
        <x:v>Erstfund 2026</x:v>
      </x:c>
      <x:c r="E1" s="8" t="str">
        <x:v>Ort</x:v>
      </x:c>
      <x:c r="F1" s="8" t="str">
        <x:v>Status</x:v>
      </x:c>
    </x:row>
    <x:row r="2">
      <x:c r="A2" s="9" t="str">
        <x:v>Amsel</x:v>
      </x:c>
      <x:c r="B2" s="9" t="str">
        <x:v>Turdus merula</x:v>
      </x:c>
      <x:c r="C2" s="9" t="n">
        <x:v>1</x:v>
      </x:c>
      <x:c r="D2" s="9" t="str">
        <x:v>2026-05-11</x:v>
      </x:c>
      <x:c r="E2" s="9" t="str">
        <x:v>Rømø</x:v>
      </x:c>
      <x:c r="F2" s="9" t="str">
        <x:v>✓ bewertet</x:v>
      </x:c>
    </x:row>
    <x:row r="3">
      <x:c r="A3" s="9" t="str">
        <x:v>Austernfischer</x:v>
      </x:c>
      <x:c r="B3" s="9" t="str">
        <x:v>Haematopus ostralegus</x:v>
      </x:c>
      <x:c r="C3" s="9" t="n">
        <x:v>3</x:v>
      </x:c>
      <x:c r="D3" s="9" t="str">
        <x:v>2026-05-11</x:v>
      </x:c>
      <x:c r="E3" s="9" t="str">
        <x:v>Rømø</x:v>
      </x:c>
      <x:c r="F3" s="9" t="str">
        <x:v>✓ bewertet</x:v>
      </x:c>
    </x:row>
    <x:row r="4">
      <x:c r="A4" s="9" t="str">
        <x:v>Bachstelze</x:v>
      </x:c>
      <x:c r="B4" s="9" t="str">
        <x:v>Motacilla alba</x:v>
      </x:c>
      <x:c r="C4" s="9" t="n">
        <x:v>1</x:v>
      </x:c>
      <x:c r="D4" s="9" t="str">
        <x:v>2026-05-11</x:v>
      </x:c>
      <x:c r="E4" s="9" t="str">
        <x:v>Rømø</x:v>
      </x:c>
      <x:c r="F4" s="9" t="str">
        <x:v>✓ bewertet</x:v>
      </x:c>
    </x:row>
    <x:row r="5">
      <x:c r="A5" s="9" t="str">
        <x:v>Baumpieper</x:v>
      </x:c>
      <x:c r="B5" s="9" t="str">
        <x:v>Anthus trivialis</x:v>
      </x:c>
      <x:c r="C5" s="9" t="n">
        <x:v>3</x:v>
      </x:c>
      <x:c r="D5" s="9" t="str">
        <x:v>2026-05-11</x:v>
      </x:c>
      <x:c r="E5" s="9" t="str">
        <x:v>rømø</x:v>
      </x:c>
      <x:c r="F5" s="9" t="str">
        <x:v>✓ bewertet</x:v>
      </x:c>
    </x:row>
    <x:row r="6">
      <x:c r="A6" s="9" t="str">
        <x:v>Birkenzeisig</x:v>
      </x:c>
      <x:c r="B6" s="9" t="str">
        <x:v>Acanthis flammea</x:v>
      </x:c>
      <x:c r="C6" s="9" t="n">
        <x:v>5</x:v>
      </x:c>
      <x:c r="D6" s="9" t="str">
        <x:v>2026-05-10</x:v>
      </x:c>
      <x:c r="E6" s="9" t="str">
        <x:v>Rømø</x:v>
      </x:c>
      <x:c r="F6" s="9" t="str">
        <x:v>✓ bewertet</x:v>
      </x:c>
    </x:row>
    <x:row r="7">
      <x:c r="A7" s="9" t="str">
        <x:v>Blaukehlchen</x:v>
      </x:c>
      <x:c r="B7" s="9" t="str">
        <x:v>Luscinia svecica</x:v>
      </x:c>
      <x:c r="C7" s="9" t="n">
        <x:v>6</x:v>
      </x:c>
      <x:c r="D7" s="9" t="str">
        <x:v>2026-05-12</x:v>
      </x:c>
      <x:c r="E7" s="9" t="str">
        <x:v>Rømø</x:v>
      </x:c>
      <x:c r="F7" s="9" t="str">
        <x:v>✓ bewertet</x:v>
      </x:c>
    </x:row>
    <x:row r="8">
      <x:c r="A8" s="9" t="str">
        <x:v>Blaumeise</x:v>
      </x:c>
      <x:c r="B8" s="9" t="str">
        <x:v>Cyanistes caeruleus</x:v>
      </x:c>
      <x:c r="C8" s="9" t="n">
        <x:v>1</x:v>
      </x:c>
      <x:c r="D8" s="9" t="str">
        <x:v>2026-05-17</x:v>
      </x:c>
      <x:c r="E8" s="9" t="str">
        <x:v>Hamburg</x:v>
      </x:c>
      <x:c r="F8" s="9" t="str">
        <x:v>✓ bewertet</x:v>
      </x:c>
    </x:row>
    <x:row r="9">
      <x:c r="A9" s="9" t="str">
        <x:v>Bluthänfling</x:v>
      </x:c>
      <x:c r="B9" s="9" t="str">
        <x:v>Linaria cannabina</x:v>
      </x:c>
      <x:c r="C9" s="9" t="n">
        <x:v>3</x:v>
      </x:c>
      <x:c r="D9" s="9" t="str">
        <x:v>2026-05-10</x:v>
      </x:c>
      <x:c r="E9" s="9" t="str">
        <x:v>Rømø</x:v>
      </x:c>
      <x:c r="F9" s="9" t="str">
        <x:v>✓ bewertet</x:v>
      </x:c>
    </x:row>
    <x:row r="10">
      <x:c r="A10" s="9" t="str">
        <x:v>Blässhuhn</x:v>
      </x:c>
      <x:c r="B10" s="9" t="str">
        <x:v>Fulica atra</x:v>
      </x:c>
      <x:c r="C10" s="9" t="n">
        <x:v>1</x:v>
      </x:c>
      <x:c r="D10" s="9" t="str">
        <x:v>2026-06-02</x:v>
      </x:c>
      <x:c r="E10" s="9" t="str">
        <x:v>Wallanlagen</x:v>
      </x:c>
      <x:c r="F10" s="9" t="str">
        <x:v>✓ bewertet</x:v>
      </x:c>
    </x:row>
    <x:row r="11">
      <x:c r="A11" s="9" t="str">
        <x:v>Brandseeschwalbe</x:v>
      </x:c>
      <x:c r="B11" s="9" t="str">
        <x:v>Thalasseus sandvicensis</x:v>
      </x:c>
      <x:c r="C11" s="9" t="n">
        <x:v>6</x:v>
      </x:c>
      <x:c r="D11" s="9" t="str">
        <x:v>2026-07-14</x:v>
      </x:c>
      <x:c r="E11" s="9" t="str">
        <x:v>Unnamed Road</x:v>
      </x:c>
      <x:c r="F11" s="9" t="str">
        <x:v>✓ bewertet</x:v>
      </x:c>
    </x:row>
    <x:row r="12">
      <x:c r="A12" s="9" t="str">
        <x:v>Braunkehlchen</x:v>
      </x:c>
      <x:c r="B12" s="9" t="str">
        <x:v>Saxicola rubetra</x:v>
      </x:c>
      <x:c r="C12" s="9" t="n">
        <x:v>6</x:v>
      </x:c>
      <x:c r="D12" s="9" t="str">
        <x:v>2026-07-26</x:v>
      </x:c>
      <x:c r="E12" s="9" t="str">
        <x:v>O 1700, Västra Götalands län</x:v>
      </x:c>
      <x:c r="F12" s="9" t="str">
        <x:v>✓ bewertet</x:v>
      </x:c>
    </x:row>
    <x:row r="13">
      <x:c r="A13" s="9" t="str">
        <x:v>Buchfink</x:v>
      </x:c>
      <x:c r="B13" s="9" t="str">
        <x:v>Fringilla coelebs</x:v>
      </x:c>
      <x:c r="C13" s="9" t="n">
        <x:v>1</x:v>
      </x:c>
      <x:c r="D13" s="9" t="str">
        <x:v>2026-05-11</x:v>
      </x:c>
      <x:c r="E13" s="9" t="str">
        <x:v>Rømø</x:v>
      </x:c>
      <x:c r="F13" s="9" t="str">
        <x:v>✓ bewertet</x:v>
      </x:c>
    </x:row>
    <x:row r="14">
      <x:c r="A14" s="9" t="str">
        <x:v>Buntspecht</x:v>
      </x:c>
      <x:c r="B14" s="9" t="str">
        <x:v>Dendrocopos major</x:v>
      </x:c>
      <x:c r="C14" s="9" t="n">
        <x:v>2</x:v>
      </x:c>
      <x:c r="D14" s="9" t="str">
        <x:v>2026-05-18</x:v>
      </x:c>
      <x:c r="E14" s="9" t="str">
        <x:v>Wallanlagen</x:v>
      </x:c>
      <x:c r="F14" s="9" t="str">
        <x:v>✓ bewertet</x:v>
      </x:c>
    </x:row>
    <x:row r="15">
      <x:c r="A15" s="9" t="str">
        <x:v>Dorngrasmücke</x:v>
      </x:c>
      <x:c r="B15" s="9" t="str">
        <x:v>Curruca communis</x:v>
      </x:c>
      <x:c r="C15" s="9" t="n">
        <x:v>2</x:v>
      </x:c>
      <x:c r="D15" s="9" t="str">
        <x:v>2026-05-11</x:v>
      </x:c>
      <x:c r="E15" s="9" t="str">
        <x:v>Rømø</x:v>
      </x:c>
      <x:c r="F15" s="9" t="str">
        <x:v>✓ bewertet</x:v>
      </x:c>
    </x:row>
    <x:row r="16">
      <x:c r="A16" s="9" t="str">
        <x:v>Eichelhäher</x:v>
      </x:c>
      <x:c r="B16" s="9" t="str">
        <x:v>Garrulus glandarius</x:v>
      </x:c>
      <x:c r="C16" s="9" t="n">
        <x:v>2</x:v>
      </x:c>
      <x:c r="D16" s="9" t="str">
        <x:v>2026-07-24</x:v>
      </x:c>
      <x:c r="E16" s="9" t="str">
        <x:v>238 NÖTARP, Skåne län</x:v>
      </x:c>
      <x:c r="F16" s="9" t="str">
        <x:v>✓ bewertet</x:v>
      </x:c>
    </x:row>
    <x:row r="17">
      <x:c r="A17" s="9" t="str">
        <x:v>Elster</x:v>
      </x:c>
      <x:c r="B17" s="9" t="str">
        <x:v>Pica pica</x:v>
      </x:c>
      <x:c r="C17" s="9" t="n">
        <x:v>1</x:v>
      </x:c>
      <x:c r="D17" s="9" t="str">
        <x:v>2026-05-17</x:v>
      </x:c>
      <x:c r="E17" s="9" t="str">
        <x:v>Hamburg</x:v>
      </x:c>
      <x:c r="F17" s="9" t="str">
        <x:v>✓ bewertet</x:v>
      </x:c>
    </x:row>
    <x:row r="18">
      <x:c r="A18" s="9" t="str">
        <x:v>Erlenzeisig</x:v>
      </x:c>
      <x:c r="B18" s="9" t="str">
        <x:v>Spinus spinus</x:v>
      </x:c>
      <x:c r="C18" s="9" t="n">
        <x:v>3</x:v>
      </x:c>
      <x:c r="D18" s="9" t="str">
        <x:v>2026-07-25</x:v>
      </x:c>
      <x:c r="E18" s="9" t="str">
        <x:v>1 GÅARYD, Kronobergs län</x:v>
      </x:c>
      <x:c r="F18" s="9" t="str">
        <x:v>✓ bewertet</x:v>
      </x:c>
    </x:row>
    <x:row r="19">
      <x:c r="A19" s="9" t="str">
        <x:v>Feldlerche</x:v>
      </x:c>
      <x:c r="B19" s="9" t="str">
        <x:v>Alauda arvensis</x:v>
      </x:c>
      <x:c r="C19" s="9" t="n">
        <x:v>2</x:v>
      </x:c>
      <x:c r="D19" s="9" t="str">
        <x:v>2026-05-11</x:v>
      </x:c>
      <x:c r="E19" s="9" t="str">
        <x:v>Rømø Strand</x:v>
      </x:c>
      <x:c r="F19" s="9" t="str">
        <x:v>✓ bewertet</x:v>
      </x:c>
    </x:row>
    <x:row r="20">
      <x:c r="A20" s="9" t="str">
        <x:v>Feldschwirl</x:v>
      </x:c>
      <x:c r="B20" s="9" t="str">
        <x:v>Locustella naevia</x:v>
      </x:c>
      <x:c r="C20" s="9" t="n">
        <x:v>5</x:v>
      </x:c>
      <x:c r="D20" s="9" t="str">
        <x:v>2026-05-14</x:v>
      </x:c>
      <x:c r="E20" s="9" t="str">
        <x:v>Rømø</x:v>
      </x:c>
      <x:c r="F20" s="9" t="str">
        <x:v>✓ bewertet</x:v>
      </x:c>
    </x:row>
    <x:row r="21">
      <x:c r="A21" s="9" t="str">
        <x:v>Feldsperling</x:v>
      </x:c>
      <x:c r="B21" s="9" t="str">
        <x:v>Passer montanus</x:v>
      </x:c>
      <x:c r="C21" s="9" t="n">
        <x:v>2</x:v>
      </x:c>
      <x:c r="D21" s="9" t="str">
        <x:v>2026-07-26</x:v>
      </x:c>
      <x:c r="E21" s="9" t="str">
        <x:v>1 Vasalyckan, Västra Götalands län</x:v>
      </x:c>
      <x:c r="F21" s="9" t="str">
        <x:v>✓ bewertet</x:v>
      </x:c>
    </x:row>
    <x:row r="22">
      <x:c r="A22" s="9" t="str">
        <x:v>Felsentaube</x:v>
      </x:c>
      <x:c r="B22" s="9" t="str">
        <x:v>Columba livia</x:v>
      </x:c>
      <x:c r="C22" s="9" t="n">
        <x:v>1</x:v>
      </x:c>
      <x:c r="D22" s="9" t="str">
        <x:v>2026-05-20</x:v>
      </x:c>
      <x:c r="E22" s="9" t="str">
        <x:v>Wallanlagen</x:v>
      </x:c>
      <x:c r="F22" s="9" t="str">
        <x:v>✓ bewertet</x:v>
      </x:c>
    </x:row>
    <x:row r="23">
      <x:c r="A23" s="9" t="str">
        <x:v>Fitis</x:v>
      </x:c>
      <x:c r="B23" s="9" t="str">
        <x:v>Phylloscopus trochilus</x:v>
      </x:c>
      <x:c r="C23" s="9" t="n">
        <x:v>2</x:v>
      </x:c>
      <x:c r="D23" s="9" t="str">
        <x:v>2026-05-10</x:v>
      </x:c>
      <x:c r="E23" s="9" t="str">
        <x:v>Rømø</x:v>
      </x:c>
      <x:c r="F23" s="9" t="str">
        <x:v>✓ bewertet</x:v>
      </x:c>
    </x:row>
    <x:row r="24">
      <x:c r="A24" s="9" t="str">
        <x:v>Flussuferläufer</x:v>
      </x:c>
      <x:c r="B24" s="9" t="str">
        <x:v>Actitis hypoleucos</x:v>
      </x:c>
      <x:c r="C24" s="9" t="n">
        <x:v>5</x:v>
      </x:c>
      <x:c r="D24" s="9" t="str">
        <x:v>2026-07-28</x:v>
      </x:c>
      <x:c r="E24" s="9" t="str">
        <x:v>14 Stakeklevsvägen, Västra Götalands län</x:v>
      </x:c>
      <x:c r="F24" s="9" t="str">
        <x:v>✓ bewertet</x:v>
      </x:c>
    </x:row>
    <x:row r="25">
      <x:c r="A25" s="9" t="str">
        <x:v>Gartenbaumläufer</x:v>
      </x:c>
      <x:c r="B25" s="9" t="str">
        <x:v>Certhia brachydactyla</x:v>
      </x:c>
      <x:c r="C25" s="9" t="n">
        <x:v>3</x:v>
      </x:c>
      <x:c r="D25" s="9" t="str">
        <x:v>2026-05-18</x:v>
      </x:c>
      <x:c r="E25" s="9" t="str">
        <x:v>Wallanlagen</x:v>
      </x:c>
      <x:c r="F25" s="9" t="str">
        <x:v>✓ bewertet</x:v>
      </x:c>
    </x:row>
    <x:row r="26">
      <x:c r="A26" s="9" t="str">
        <x:v>Gartengrasmücke</x:v>
      </x:c>
      <x:c r="B26" s="9" t="str">
        <x:v>Sylvia borin</x:v>
      </x:c>
      <x:c r="C26" s="9" t="n">
        <x:v>3</x:v>
      </x:c>
      <x:c r="D26" s="9" t="str">
        <x:v>2026-05-14</x:v>
      </x:c>
      <x:c r="E26" s="9" t="str">
        <x:v>Rømø</x:v>
      </x:c>
      <x:c r="F26" s="9" t="str">
        <x:v>✓ bewertet</x:v>
      </x:c>
    </x:row>
    <x:row r="27">
      <x:c r="A27" s="9" t="str">
        <x:v>Gartenrotschwanz</x:v>
      </x:c>
      <x:c r="B27" s="9" t="str">
        <x:v>Phoenicurus phoenicurus</x:v>
      </x:c>
      <x:c r="C27" s="9" t="n">
        <x:v>4</x:v>
      </x:c>
      <x:c r="D27" s="9" t="str">
        <x:v>2026-05-11</x:v>
      </x:c>
      <x:c r="E27" s="9" t="str">
        <x:v>Rømø</x:v>
      </x:c>
      <x:c r="F27" s="9" t="str">
        <x:v>✓ bewertet</x:v>
      </x:c>
    </x:row>
    <x:row r="28">
      <x:c r="A28" s="9" t="str">
        <x:v>Gimpel</x:v>
      </x:c>
      <x:c r="B28" s="9" t="str">
        <x:v>Pyrrhula pyrrhula</x:v>
      </x:c>
      <x:c r="C28" s="9" t="n">
        <x:v>3</x:v>
      </x:c>
      <x:c r="D28" s="9" t="str">
        <x:v>2026-05-18</x:v>
      </x:c>
      <x:c r="E28" s="9" t="str">
        <x:v>Hamburg</x:v>
      </x:c>
      <x:c r="F28" s="9" t="str">
        <x:v>✓ bewertet</x:v>
      </x:c>
    </x:row>
    <x:row r="29">
      <x:c r="A29" s="9" t="str">
        <x:v>Goldammer</x:v>
      </x:c>
      <x:c r="B29" s="9" t="str">
        <x:v>Emberiza citrinella</x:v>
      </x:c>
      <x:c r="C29" s="9" t="n">
        <x:v>2</x:v>
      </x:c>
      <x:c r="D29" s="9" t="str">
        <x:v>2026-05-11</x:v>
      </x:c>
      <x:c r="E29" s="9" t="str">
        <x:v>Rømø</x:v>
      </x:c>
      <x:c r="F29" s="9" t="str">
        <x:v>✓ bewertet</x:v>
      </x:c>
    </x:row>
    <x:row r="30">
      <x:c r="A30" s="9" t="str">
        <x:v>Goldregenpfeifer</x:v>
      </x:c>
      <x:c r="B30" s="9" t="str">
        <x:v>Pluvialis apricaria</x:v>
      </x:c>
      <x:c r="C30" s="9" t="n">
        <x:v>6</x:v>
      </x:c>
      <x:c r="D30" s="9" t="str">
        <x:v>2026-07-28</x:v>
      </x:c>
      <x:c r="E30" s="9" t="str">
        <x:v>1 Lilla Öboängen, Västra Götalands län, SE (58,61, 13,168)</x:v>
      </x:c>
      <x:c r="F30" s="9" t="str">
        <x:v>✓ bewertet</x:v>
      </x:c>
    </x:row>
    <x:row r="31">
      <x:c r="A31" s="9" t="str">
        <x:v>Graugans</x:v>
      </x:c>
      <x:c r="B31" s="9" t="str">
        <x:v>Anser anser</x:v>
      </x:c>
      <x:c r="C31" s="9" t="n">
        <x:v>1</x:v>
      </x:c>
      <x:c r="D31" s="9" t="str">
        <x:v>2026-05-18</x:v>
      </x:c>
      <x:c r="E31" s="9" t="str">
        <x:v>Planten un Bloomen</x:v>
      </x:c>
      <x:c r="F31" s="9" t="str">
        <x:v>✓ bewertet</x:v>
      </x:c>
    </x:row>
    <x:row r="32">
      <x:c r="A32" s="9" t="str">
        <x:v>Grünfink</x:v>
      </x:c>
      <x:c r="B32" s="9" t="str">
        <x:v>Chloris chloris</x:v>
      </x:c>
      <x:c r="C32" s="9" t="n">
        <x:v>2</x:v>
      </x:c>
      <x:c r="D32" s="9" t="str">
        <x:v>2026-05-10</x:v>
      </x:c>
      <x:c r="E32" s="9" t="str">
        <x:v>Rømø</x:v>
      </x:c>
      <x:c r="F32" s="9" t="str">
        <x:v>✓ bewertet</x:v>
      </x:c>
    </x:row>
    <x:row r="33">
      <x:c r="A33" s="9" t="str">
        <x:v>Grünschenkel</x:v>
      </x:c>
      <x:c r="B33" s="9" t="str">
        <x:v>Tringa nebularia</x:v>
      </x:c>
      <x:c r="C33" s="9" t="n">
        <x:v>6</x:v>
      </x:c>
      <x:c r="D33" s="9" t="str">
        <x:v>2026-05-11</x:v>
      </x:c>
      <x:c r="E33" s="9" t="str">
        <x:v>Rømø</x:v>
      </x:c>
      <x:c r="F33" s="9" t="str">
        <x:v>✓ bewertet</x:v>
      </x:c>
    </x:row>
    <x:row r="34">
      <x:c r="A34" s="9" t="str">
        <x:v>Grünspecht</x:v>
      </x:c>
      <x:c r="B34" s="9" t="str">
        <x:v>Picus viridis</x:v>
      </x:c>
      <x:c r="C34" s="9" t="n">
        <x:v>3</x:v>
      </x:c>
      <x:c r="D34" s="9" t="str">
        <x:v>2026-07-24</x:v>
      </x:c>
      <x:c r="E34" s="9" t="str">
        <x:v>Unnamed Road, Skåne län</x:v>
      </x:c>
      <x:c r="F34" s="9" t="str">
        <x:v>✓ bewertet</x:v>
      </x:c>
    </x:row>
    <x:row r="35">
      <x:c r="A35" s="9" t="str">
        <x:v>Haubenmeise</x:v>
      </x:c>
      <x:c r="B35" s="9" t="str">
        <x:v>Lophophanes cristatus</x:v>
      </x:c>
      <x:c r="C35" s="9" t="n">
        <x:v>4</x:v>
      </x:c>
      <x:c r="D35" s="9" t="str">
        <x:v>2026-07-26</x:v>
      </x:c>
      <x:c r="E35" s="9" t="str">
        <x:v>26, Jönköpings län</x:v>
      </x:c>
      <x:c r="F35" s="9" t="str">
        <x:v>✓ bewertet</x:v>
      </x:c>
    </x:row>
    <x:row r="36">
      <x:c r="A36" s="9" t="str">
        <x:v>Hausrotschwanz</x:v>
      </x:c>
      <x:c r="B36" s="9" t="str">
        <x:v>Phoenicurus ochruros</x:v>
      </x:c>
      <x:c r="C36" s="9" t="n">
        <x:v>2</x:v>
      </x:c>
      <x:c r="D36" s="9" t="str">
        <x:v>2026-07-06</x:v>
      </x:c>
      <x:c r="E36" s="9" t="str">
        <x:v>Hamburg</x:v>
      </x:c>
      <x:c r="F36" s="9" t="str">
        <x:v>✓ bewertet</x:v>
      </x:c>
    </x:row>
    <x:row r="37">
      <x:c r="A37" s="9" t="str">
        <x:v>Haussperling</x:v>
      </x:c>
      <x:c r="B37" s="9" t="str">
        <x:v>Passer domesticus</x:v>
      </x:c>
      <x:c r="C37" s="9" t="n">
        <x:v>1</x:v>
      </x:c>
      <x:c r="D37" s="9" t="str">
        <x:v>2026-05-17</x:v>
      </x:c>
      <x:c r="E37" s="9" t="str">
        <x:v>Hamburg</x:v>
      </x:c>
      <x:c r="F37" s="9" t="str">
        <x:v>✓ bewertet</x:v>
      </x:c>
    </x:row>
    <x:row r="38">
      <x:c r="A38" s="9" t="str">
        <x:v>Heckenbraunelle</x:v>
      </x:c>
      <x:c r="B38" s="9" t="str">
        <x:v>Prunella modularis</x:v>
      </x:c>
      <x:c r="C38" s="9" t="n">
        <x:v>1</x:v>
      </x:c>
      <x:c r="D38" s="9" t="str">
        <x:v>2026-05-12</x:v>
      </x:c>
      <x:c r="E38" s="9" t="str">
        <x:v>Rømø</x:v>
      </x:c>
      <x:c r="F38" s="9" t="str">
        <x:v>✓ bewertet</x:v>
      </x:c>
    </x:row>
    <x:row r="39">
      <x:c r="A39" s="9" t="str">
        <x:v>Heidelerche</x:v>
      </x:c>
      <x:c r="B39" s="9" t="str">
        <x:v>Lullula arborea</x:v>
      </x:c>
      <x:c r="C39" s="9" t="n">
        <x:v>5</x:v>
      </x:c>
      <x:c r="D39" s="9" t="str">
        <x:v>2026-05-12</x:v>
      </x:c>
      <x:c r="E39" s="9" t="str">
        <x:v>Rømø</x:v>
      </x:c>
      <x:c r="F39" s="9" t="str">
        <x:v>✓ bewertet</x:v>
      </x:c>
    </x:row>
    <x:row r="40">
      <x:c r="A40" s="9" t="str">
        <x:v>Jagdfasan</x:v>
      </x:c>
      <x:c r="B40" s="9" t="str">
        <x:v>Phasianus colchicus</x:v>
      </x:c>
      <x:c r="C40" s="9" t="n">
        <x:v>2</x:v>
      </x:c>
      <x:c r="D40" s="9" t="str">
        <x:v>2026-05-11</x:v>
      </x:c>
      <x:c r="E40" s="9" t="str">
        <x:v>Rømø</x:v>
      </x:c>
      <x:c r="F40" s="9" t="str">
        <x:v>✓ bewertet</x:v>
      </x:c>
    </x:row>
    <x:row r="41">
      <x:c r="A41" s="9" t="str">
        <x:v>Kanadagans</x:v>
      </x:c>
      <x:c r="B41" s="9" t="str">
        <x:v>Branta canadensis</x:v>
      </x:c>
      <x:c r="C41" s="9" t="n">
        <x:v>1</x:v>
      </x:c>
      <x:c r="D41" s="9" t="str">
        <x:v>2026-05-29</x:v>
      </x:c>
      <x:c r="E41" s="9" t="str">
        <x:v>Hamburg</x:v>
      </x:c>
      <x:c r="F41" s="9" t="str">
        <x:v>✓ bewertet</x:v>
      </x:c>
    </x:row>
    <x:row r="42">
      <x:c r="A42" s="9" t="str">
        <x:v>Kiebitzregenpfeifer</x:v>
      </x:c>
      <x:c r="B42" s="9" t="str">
        <x:v>Pluvialis squatarola</x:v>
      </x:c>
      <x:c r="C42" s="9" t="n">
        <x:v>7</x:v>
      </x:c>
      <x:c r="D42" s="9" t="str">
        <x:v>2026-05-11</x:v>
      </x:c>
      <x:c r="E42" s="9" t="str">
        <x:v>rømø</x:v>
      </x:c>
      <x:c r="F42" s="9" t="str">
        <x:v>✓ bewertet</x:v>
      </x:c>
    </x:row>
    <x:row r="43">
      <x:c r="A43" s="9" t="str">
        <x:v>Klappergrasmücke</x:v>
      </x:c>
      <x:c r="B43" s="9" t="str">
        <x:v>Curruca curruca</x:v>
      </x:c>
      <x:c r="C43" s="9" t="n">
        <x:v>3</x:v>
      </x:c>
      <x:c r="D43" s="9" t="str">
        <x:v>2026-05-11</x:v>
      </x:c>
      <x:c r="E43" s="9" t="str">
        <x:v>rømø</x:v>
      </x:c>
      <x:c r="F43" s="9" t="str">
        <x:v>✓ bewertet</x:v>
      </x:c>
    </x:row>
    <x:row r="44">
      <x:c r="A44" s="9" t="str">
        <x:v>Kleiber</x:v>
      </x:c>
      <x:c r="B44" s="9" t="str">
        <x:v>Sitta europaea</x:v>
      </x:c>
      <x:c r="C44" s="9" t="n">
        <x:v>2</x:v>
      </x:c>
      <x:c r="D44" s="9" t="str">
        <x:v>2026-07-24</x:v>
      </x:c>
      <x:c r="E44" s="9" t="str">
        <x:v>Unnamed Road, Skåne län</x:v>
      </x:c>
      <x:c r="F44" s="9" t="str">
        <x:v>✓ bewertet</x:v>
      </x:c>
    </x:row>
    <x:row r="45">
      <x:c r="A45" s="9" t="str">
        <x:v>Kohlmeise</x:v>
      </x:c>
      <x:c r="B45" s="9" t="str">
        <x:v>Parus major</x:v>
      </x:c>
      <x:c r="C45" s="9" t="n">
        <x:v>1</x:v>
      </x:c>
      <x:c r="D45" s="9" t="str">
        <x:v>2026-05-10</x:v>
      </x:c>
      <x:c r="E45" s="9" t="str">
        <x:v>Rømø</x:v>
      </x:c>
      <x:c r="F45" s="9" t="str">
        <x:v>✓ bewertet</x:v>
      </x:c>
    </x:row>
    <x:row r="46">
      <x:c r="A46" s="9" t="str">
        <x:v>Kolkrabe</x:v>
      </x:c>
      <x:c r="B46" s="9" t="str">
        <x:v>Corvus corax</x:v>
      </x:c>
      <x:c r="C46" s="9" t="n">
        <x:v>3</x:v>
      </x:c>
      <x:c r="D46" s="9" t="str">
        <x:v>2026-05-25</x:v>
      </x:c>
      <x:c r="E46" s="9" t="str">
        <x:v>Billetal</x:v>
      </x:c>
      <x:c r="F46" s="9" t="str">
        <x:v>✓ bewertet</x:v>
      </x:c>
    </x:row>
    <x:row r="47">
      <x:c r="A47" s="9" t="str">
        <x:v>Kranich</x:v>
      </x:c>
      <x:c r="B47" s="9" t="str">
        <x:v>Grus grus</x:v>
      </x:c>
      <x:c r="C47" s="9" t="n">
        <x:v>4</x:v>
      </x:c>
      <x:c r="D47" s="9" t="str">
        <x:v>2026-07-30</x:v>
      </x:c>
      <x:c r="E47" s="9" t="str">
        <x:v>Unnamed Road, Västra Götalands län</x:v>
      </x:c>
      <x:c r="F47" s="9" t="str">
        <x:v>✓ bewertet</x:v>
      </x:c>
    </x:row>
    <x:row r="48">
      <x:c r="A48" s="9" t="str">
        <x:v>Kuckuck</x:v>
      </x:c>
      <x:c r="B48" s="9" t="str">
        <x:v>Cuculus canorus</x:v>
      </x:c>
      <x:c r="C48" s="9" t="n">
        <x:v>4</x:v>
      </x:c>
      <x:c r="D48" s="9" t="str">
        <x:v>2026-05-10</x:v>
      </x:c>
      <x:c r="E48" s="9" t="str">
        <x:v>Rømø</x:v>
      </x:c>
      <x:c r="F48" s="9" t="str">
        <x:v>✓ bewertet</x:v>
      </x:c>
    </x:row>
    <x:row r="49">
      <x:c r="A49" s="9" t="str">
        <x:v>Lachmöwe</x:v>
      </x:c>
      <x:c r="B49" s="9" t="str">
        <x:v>Chroicocephalus ridibundus</x:v>
      </x:c>
      <x:c r="C49" s="9" t="n">
        <x:v>2</x:v>
      </x:c>
      <x:c r="D49" s="9" t="str">
        <x:v>2026-07-14</x:v>
      </x:c>
      <x:c r="E49" s="9" t="str">
        <x:v>Unnamed Road</x:v>
      </x:c>
      <x:c r="F49" s="9" t="str">
        <x:v>✓ bewertet</x:v>
      </x:c>
    </x:row>
    <x:row r="50">
      <x:c r="A50" s="9" t="str">
        <x:v>Mauersegler</x:v>
      </x:c>
      <x:c r="B50" s="9" t="str">
        <x:v>Apus apus</x:v>
      </x:c>
      <x:c r="C50" s="9" t="n">
        <x:v>2</x:v>
      </x:c>
      <x:c r="D50" s="9" t="str">
        <x:v>2026-05-17</x:v>
      </x:c>
      <x:c r="E50" s="9" t="str">
        <x:v>Hamburg</x:v>
      </x:c>
      <x:c r="F50" s="9" t="str">
        <x:v>✓ bewertet</x:v>
      </x:c>
    </x:row>
    <x:row r="51">
      <x:c r="A51" s="9" t="str">
        <x:v>Mehlschwalbe</x:v>
      </x:c>
      <x:c r="B51" s="9" t="str">
        <x:v>Delichon urbicum</x:v>
      </x:c>
      <x:c r="C51" s="9" t="n">
        <x:v>2</x:v>
      </x:c>
      <x:c r="D51" s="9" t="str">
        <x:v>2026-05-11</x:v>
      </x:c>
      <x:c r="E51" s="9" t="str">
        <x:v>Rømø</x:v>
      </x:c>
      <x:c r="F51" s="9" t="str">
        <x:v>✓ bewertet</x:v>
      </x:c>
    </x:row>
    <x:row r="52">
      <x:c r="A52" s="9" t="str">
        <x:v>Misteldrossel</x:v>
      </x:c>
      <x:c r="B52" s="9" t="str">
        <x:v>Turdus viscivorus</x:v>
      </x:c>
      <x:c r="C52" s="9" t="n">
        <x:v>3</x:v>
      </x:c>
      <x:c r="D52" s="9" t="str">
        <x:v>2026-05-17</x:v>
      </x:c>
      <x:c r="E52" s="9" t="str">
        <x:v>Hamburg</x:v>
      </x:c>
      <x:c r="F52" s="9" t="str">
        <x:v>✓ bewertet</x:v>
      </x:c>
    </x:row>
    <x:row r="53">
      <x:c r="A53" s="9" t="str">
        <x:v>Mittelmeermöwe</x:v>
      </x:c>
      <x:c r="B53" s="9" t="str">
        <x:v>Larus michahellis</x:v>
      </x:c>
      <x:c r="C53" s="9" t="n">
        <x:v>5</x:v>
      </x:c>
      <x:c r="D53" s="9" t="str">
        <x:v>2026-07-13</x:v>
      </x:c>
      <x:c r="E53" s="9" t="str">
        <x:v>30 Alter Badweg, Sankt Peter-Ording, Schleswig-Holstein</x:v>
      </x:c>
      <x:c r="F53" s="9" t="str">
        <x:v>✓ bewertet</x:v>
      </x:c>
    </x:row>
    <x:row r="54">
      <x:c r="A54" s="9" t="str">
        <x:v>Mäusebussard</x:v>
      </x:c>
      <x:c r="B54" s="9" t="str">
        <x:v>Buteo buteo</x:v>
      </x:c>
      <x:c r="C54" s="9" t="n">
        <x:v>2</x:v>
      </x:c>
      <x:c r="D54" s="9" t="str">
        <x:v>2026-07-01</x:v>
      </x:c>
      <x:c r="E54" s="9" t="str">
        <x:v>Wallanlagen</x:v>
      </x:c>
      <x:c r="F54" s="9" t="str">
        <x:v>✓ bewertet</x:v>
      </x:c>
    </x:row>
    <x:row r="55">
      <x:c r="A55" s="9" t="str">
        <x:v>Mönchsgrasmücke</x:v>
      </x:c>
      <x:c r="B55" s="9" t="str">
        <x:v>Sylvia atricapilla</x:v>
      </x:c>
      <x:c r="C55" s="9" t="n">
        <x:v>1</x:v>
      </x:c>
      <x:c r="D55" s="9" t="str">
        <x:v>2026-05-11</x:v>
      </x:c>
      <x:c r="E55" s="9" t="str">
        <x:v>rømø</x:v>
      </x:c>
      <x:c r="F55" s="9" t="str">
        <x:v>✓ bewertet</x:v>
      </x:c>
    </x:row>
    <x:row r="56">
      <x:c r="A56" s="9" t="str">
        <x:v>Nebelkrähe</x:v>
      </x:c>
      <x:c r="B56" s="9" t="str">
        <x:v>Corvus cornix</x:v>
      </x:c>
      <x:c r="C56" s="9" t="n">
        <x:v>3</x:v>
      </x:c>
      <x:c r="D56" s="9" t="str">
        <x:v>2026-05-10</x:v>
      </x:c>
      <x:c r="E56" s="9" t="str">
        <x:v>Rømø</x:v>
      </x:c>
      <x:c r="F56" s="9" t="str">
        <x:v>✓ bewertet</x:v>
      </x:c>
    </x:row>
    <x:row r="57">
      <x:c r="A57" s="9" t="str">
        <x:v>Rabenkrähe</x:v>
      </x:c>
      <x:c r="B57" s="9" t="str">
        <x:v>Corvus corone</x:v>
      </x:c>
      <x:c r="C57" s="9" t="n">
        <x:v>1</x:v>
      </x:c>
      <x:c r="D57" s="9" t="str">
        <x:v>2026-05-10</x:v>
      </x:c>
      <x:c r="E57" s="9" t="str">
        <x:v>Rømø</x:v>
      </x:c>
      <x:c r="F57" s="9" t="str">
        <x:v>✓ bewertet</x:v>
      </x:c>
    </x:row>
    <x:row r="58">
      <x:c r="A58" s="9" t="str">
        <x:v>Rauchschwalbe</x:v>
      </x:c>
      <x:c r="B58" s="9" t="str">
        <x:v>Hirundo rustica</x:v>
      </x:c>
      <x:c r="C58" s="9" t="n">
        <x:v>2</x:v>
      </x:c>
      <x:c r="D58" s="9" t="str">
        <x:v>2026-05-10</x:v>
      </x:c>
      <x:c r="E58" s="9" t="str">
        <x:v>Rømø</x:v>
      </x:c>
      <x:c r="F58" s="9" t="str">
        <x:v>✓ bewertet</x:v>
      </x:c>
    </x:row>
    <x:row r="59">
      <x:c r="A59" s="9" t="str">
        <x:v>Ringeltaube</x:v>
      </x:c>
      <x:c r="B59" s="9" t="str">
        <x:v>Columba palumbus</x:v>
      </x:c>
      <x:c r="C59" s="9" t="n">
        <x:v>1</x:v>
      </x:c>
      <x:c r="D59" s="9" t="str">
        <x:v>2026-05-11</x:v>
      </x:c>
      <x:c r="E59" s="9" t="str">
        <x:v>Rømø</x:v>
      </x:c>
      <x:c r="F59" s="9" t="str">
        <x:v>✓ bewertet</x:v>
      </x:c>
    </x:row>
    <x:row r="60">
      <x:c r="A60" s="9" t="str">
        <x:v>Rohrammer</x:v>
      </x:c>
      <x:c r="B60" s="9" t="str">
        <x:v>Emberiza schoeniclus</x:v>
      </x:c>
      <x:c r="C60" s="9" t="n">
        <x:v>3</x:v>
      </x:c>
      <x:c r="D60" s="9" t="str">
        <x:v>2026-05-12</x:v>
      </x:c>
      <x:c r="E60" s="9" t="str">
        <x:v>Rømø</x:v>
      </x:c>
      <x:c r="F60" s="9" t="str">
        <x:v>✓ bewertet</x:v>
      </x:c>
    </x:row>
    <x:row r="61">
      <x:c r="A61" s="9" t="str">
        <x:v>Rotkehlchen</x:v>
      </x:c>
      <x:c r="B61" s="9" t="str">
        <x:v>Erithacus rubecula</x:v>
      </x:c>
      <x:c r="C61" s="9" t="n">
        <x:v>1</x:v>
      </x:c>
      <x:c r="D61" s="9" t="str">
        <x:v>2026-05-17</x:v>
      </x:c>
      <x:c r="E61" s="9" t="str">
        <x:v>Hamburg</x:v>
      </x:c>
      <x:c r="F61" s="9" t="str">
        <x:v>✓ bewertet</x:v>
      </x:c>
    </x:row>
    <x:row r="62">
      <x:c r="A62" s="9" t="str">
        <x:v>Rotschenkel</x:v>
      </x:c>
      <x:c r="B62" s="9" t="str">
        <x:v>Tringa totanus</x:v>
      </x:c>
      <x:c r="C62" s="9" t="n">
        <x:v>5</x:v>
      </x:c>
      <x:c r="D62" s="9" t="str">
        <x:v>2026-05-11</x:v>
      </x:c>
      <x:c r="E62" s="9" t="str">
        <x:v>Rømø</x:v>
      </x:c>
      <x:c r="F62" s="9" t="str">
        <x:v>✓ bewertet</x:v>
      </x:c>
    </x:row>
    <x:row r="63">
      <x:c r="A63" s="9" t="str">
        <x:v>Saatkrähe</x:v>
      </x:c>
      <x:c r="B63" s="9" t="str">
        <x:v>Corvus frugilegus</x:v>
      </x:c>
      <x:c r="C63" s="9" t="n">
        <x:v>3</x:v>
      </x:c>
      <x:c r="D63" s="9" t="str">
        <x:v>2026-07-01</x:v>
      </x:c>
      <x:c r="E63" s="9" t="str">
        <x:v>Wallanlagen</x:v>
      </x:c>
      <x:c r="F63" s="9" t="str">
        <x:v>✓ bewertet</x:v>
      </x:c>
    </x:row>
    <x:row r="64">
      <x:c r="A64" s="9" t="str">
        <x:v>Sanderling</x:v>
      </x:c>
      <x:c r="B64" s="9" t="str">
        <x:v>Calidris alba</x:v>
      </x:c>
      <x:c r="C64" s="9" t="n">
        <x:v>5</x:v>
      </x:c>
      <x:c r="D64" s="9" t="str">
        <x:v>2026-05-11</x:v>
      </x:c>
      <x:c r="E64" s="9" t="str">
        <x:v>Rømø strand</x:v>
      </x:c>
      <x:c r="F64" s="9" t="str">
        <x:v>✓ bewertet</x:v>
      </x:c>
    </x:row>
    <x:row r="65">
      <x:c r="A65" s="9" t="str">
        <x:v>Sandregenpfeifer</x:v>
      </x:c>
      <x:c r="B65" s="9" t="str">
        <x:v>Charadrius hiaticula</x:v>
      </x:c>
      <x:c r="C65" s="9" t="n">
        <x:v>5</x:v>
      </x:c>
      <x:c r="D65" s="9" t="str">
        <x:v>2026-05-11</x:v>
      </x:c>
      <x:c r="E65" s="9" t="str">
        <x:v>Rømø</x:v>
      </x:c>
      <x:c r="F65" s="9" t="str">
        <x:v>✓ bewertet</x:v>
      </x:c>
    </x:row>
    <x:row r="66">
      <x:c r="A66" s="9" t="str">
        <x:v>Schafstelze</x:v>
      </x:c>
      <x:c r="B66" s="9" t="str">
        <x:v>Motacilla flava</x:v>
      </x:c>
      <x:c r="C66" s="9" t="n">
        <x:v>3</x:v>
      </x:c>
      <x:c r="D66" s="9" t="str">
        <x:v>2026-05-11</x:v>
      </x:c>
      <x:c r="E66" s="9" t="str">
        <x:v>Rømø</x:v>
      </x:c>
      <x:c r="F66" s="9" t="str">
        <x:v>✓ bewertet</x:v>
      </x:c>
    </x:row>
    <x:row r="67">
      <x:c r="A67" s="9" t="str">
        <x:v>Schilfrohrsänger</x:v>
      </x:c>
      <x:c r="B67" s="9" t="str">
        <x:v>Acrocephalus schoenobaenus</x:v>
      </x:c>
      <x:c r="C67" s="9" t="n">
        <x:v>4</x:v>
      </x:c>
      <x:c r="D67" s="9" t="str">
        <x:v>2026-05-12</x:v>
      </x:c>
      <x:c r="E67" s="9" t="str">
        <x:v>Rømø</x:v>
      </x:c>
      <x:c r="F67" s="9" t="str">
        <x:v>✓ bewertet</x:v>
      </x:c>
    </x:row>
    <x:row r="68">
      <x:c r="A68" s="9" t="str">
        <x:v>Schwarzspecht</x:v>
      </x:c>
      <x:c r="B68" s="9" t="str">
        <x:v>Dryocopus martius</x:v>
      </x:c>
      <x:c r="C68" s="9" t="n">
        <x:v>5</x:v>
      </x:c>
      <x:c r="D68" s="9" t="str">
        <x:v>2026-05-25</x:v>
      </x:c>
      <x:c r="E68" s="9" t="str">
        <x:v>Billetal</x:v>
      </x:c>
      <x:c r="F68" s="9" t="str">
        <x:v>✓ bewertet</x:v>
      </x:c>
    </x:row>
    <x:row r="69">
      <x:c r="A69" s="9" t="str">
        <x:v>Silbermöwe</x:v>
      </x:c>
      <x:c r="B69" s="9" t="str">
        <x:v>Larus argentatus</x:v>
      </x:c>
      <x:c r="C69" s="9" t="n">
        <x:v>2</x:v>
      </x:c>
      <x:c r="D69" s="9" t="str">
        <x:v>2026-07-13</x:v>
      </x:c>
      <x:c r="E69" s="9" t="str">
        <x:v>30 Alter Badweg, Sankt Peter-Ording, Schleswig-Holstein</x:v>
      </x:c>
      <x:c r="F69" s="9" t="str">
        <x:v>✓ bewertet</x:v>
      </x:c>
    </x:row>
    <x:row r="70">
      <x:c r="A70" s="9" t="str">
        <x:v>Singdrossel</x:v>
      </x:c>
      <x:c r="B70" s="9" t="str">
        <x:v>Turdus philomelos</x:v>
      </x:c>
      <x:c r="C70" s="9" t="n">
        <x:v>2</x:v>
      </x:c>
      <x:c r="D70" s="9" t="str">
        <x:v>2026-05-23</x:v>
      </x:c>
      <x:c r="E70" s="9" t="str">
        <x:v>Volkspark</x:v>
      </x:c>
      <x:c r="F70" s="9" t="str">
        <x:v>✓ bewertet</x:v>
      </x:c>
    </x:row>
    <x:row r="71">
      <x:c r="A71" s="9" t="str">
        <x:v>Sommergoldhähnchen</x:v>
      </x:c>
      <x:c r="B71" s="9" t="str">
        <x:v>Regulus ignicapilla</x:v>
      </x:c>
      <x:c r="C71" s="9" t="n">
        <x:v>4</x:v>
      </x:c>
      <x:c r="D71" s="9" t="str">
        <x:v>2026-05-22</x:v>
      </x:c>
      <x:c r="E71" s="9" t="str">
        <x:v>Wallanlagen</x:v>
      </x:c>
      <x:c r="F71" s="9" t="str">
        <x:v>✓ bewertet</x:v>
      </x:c>
    </x:row>
    <x:row r="72">
      <x:c r="A72" s="9" t="str">
        <x:v>Sperber</x:v>
      </x:c>
      <x:c r="B72" s="9" t="str">
        <x:v>Accipiter nisus</x:v>
      </x:c>
      <x:c r="C72" s="9" t="n">
        <x:v>4</x:v>
      </x:c>
      <x:c r="D72" s="9" t="str">
        <x:v>2026-07-28</x:v>
      </x:c>
      <x:c r="E72" s="9" t="str">
        <x:v>1 Lilla Öboängen, Västra Götalands län, SE (58,61, 13,168)</x:v>
      </x:c>
      <x:c r="F72" s="9" t="str">
        <x:v>✓ bewertet</x:v>
      </x:c>
    </x:row>
    <x:row r="73">
      <x:c r="A73" s="9" t="str">
        <x:v>Star</x:v>
      </x:c>
      <x:c r="B73" s="9" t="str">
        <x:v>Sturnus vulgaris</x:v>
      </x:c>
      <x:c r="C73" s="9" t="n">
        <x:v>1</x:v>
      </x:c>
      <x:c r="D73" s="9" t="str">
        <x:v>2026-05-18</x:v>
      </x:c>
      <x:c r="E73" s="9" t="str">
        <x:v>Hamburg</x:v>
      </x:c>
      <x:c r="F73" s="9" t="str">
        <x:v>✓ bewertet</x:v>
      </x:c>
    </x:row>
    <x:row r="74">
      <x:c r="A74" s="9" t="str">
        <x:v>Steinschmätzer</x:v>
      </x:c>
      <x:c r="B74" s="9" t="str">
        <x:v>Oenanthe oenanthe</x:v>
      </x:c>
      <x:c r="C74" s="9" t="n">
        <x:v>5</x:v>
      </x:c>
      <x:c r="D74" s="9" t="str">
        <x:v>2026-05-14</x:v>
      </x:c>
      <x:c r="E74" s="9" t="str">
        <x:v>Rømø</x:v>
      </x:c>
      <x:c r="F74" s="9" t="str">
        <x:v>✓ bewertet</x:v>
      </x:c>
    </x:row>
    <x:row r="75">
      <x:c r="A75" s="9" t="str">
        <x:v>Stieglitz</x:v>
      </x:c>
      <x:c r="B75" s="9" t="str">
        <x:v>Carduelis carduelis</x:v>
      </x:c>
      <x:c r="C75" s="9" t="n">
        <x:v>2</x:v>
      </x:c>
      <x:c r="D75" s="9" t="str">
        <x:v>2026-05-12</x:v>
      </x:c>
      <x:c r="E75" s="9" t="str">
        <x:v>Rømø</x:v>
      </x:c>
      <x:c r="F75" s="9" t="str">
        <x:v>✓ bewertet</x:v>
      </x:c>
    </x:row>
    <x:row r="76">
      <x:c r="A76" s="9" t="str">
        <x:v>Stockente</x:v>
      </x:c>
      <x:c r="B76" s="9" t="str">
        <x:v>Anas platyrhynchos</x:v>
      </x:c>
      <x:c r="C76" s="9" t="n">
        <x:v>1</x:v>
      </x:c>
      <x:c r="D76" s="9" t="str">
        <x:v>2026-05-16</x:v>
      </x:c>
      <x:c r="E76" s="9" t="str">
        <x:v>Hamburg</x:v>
      </x:c>
      <x:c r="F76" s="9" t="str">
        <x:v>✓ bewertet</x:v>
      </x:c>
    </x:row>
    <x:row r="77">
      <x:c r="A77" s="9" t="str">
        <x:v>Sturmmöwe</x:v>
      </x:c>
      <x:c r="B77" s="9" t="str">
        <x:v>Larus canus</x:v>
      </x:c>
      <x:c r="C77" s="9" t="n">
        <x:v>3</x:v>
      </x:c>
      <x:c r="D77" s="9" t="str">
        <x:v>2026-05-11</x:v>
      </x:c>
      <x:c r="E77" s="9" t="str">
        <x:v>Rømø</x:v>
      </x:c>
      <x:c r="F77" s="9" t="str">
        <x:v>✓ bewertet</x:v>
      </x:c>
    </x:row>
    <x:row r="78">
      <x:c r="A78" s="9" t="str">
        <x:v>Sumpfmeise</x:v>
      </x:c>
      <x:c r="B78" s="9" t="str">
        <x:v>Poecile palustris</x:v>
      </x:c>
      <x:c r="C78" s="9" t="n">
        <x:v>3</x:v>
      </x:c>
      <x:c r="D78" s="9" t="str">
        <x:v>2026-05-17</x:v>
      </x:c>
      <x:c r="E78" s="9" t="str">
        <x:v>Hamburg</x:v>
      </x:c>
      <x:c r="F78" s="9" t="str">
        <x:v>✓ bewertet</x:v>
      </x:c>
    </x:row>
    <x:row r="79">
      <x:c r="A79" s="9" t="str">
        <x:v>Tannenmeise</x:v>
      </x:c>
      <x:c r="B79" s="9" t="str">
        <x:v>Periparus ater</x:v>
      </x:c>
      <x:c r="C79" s="9" t="n">
        <x:v>2</x:v>
      </x:c>
      <x:c r="D79" s="9" t="str">
        <x:v>2026-05-11</x:v>
      </x:c>
      <x:c r="E79" s="9" t="str">
        <x:v>Rømø</x:v>
      </x:c>
      <x:c r="F79" s="9" t="str">
        <x:v>✓ bewertet</x:v>
      </x:c>
    </x:row>
    <x:row r="80">
      <x:c r="A80" s="9" t="str">
        <x:v>Teichhuhn</x:v>
      </x:c>
      <x:c r="B80" s="9" t="str">
        <x:v>Gallinula chloropus</x:v>
      </x:c>
      <x:c r="C80" s="9" t="n">
        <x:v>3</x:v>
      </x:c>
      <x:c r="D80" s="9" t="str">
        <x:v>2026-05-22</x:v>
      </x:c>
      <x:c r="E80" s="9" t="str">
        <x:v>Wallanlagen</x:v>
      </x:c>
      <x:c r="F80" s="9" t="str">
        <x:v>✓ bewertet</x:v>
      </x:c>
    </x:row>
    <x:row r="81">
      <x:c r="A81" s="9" t="str">
        <x:v>Turmfalke</x:v>
      </x:c>
      <x:c r="B81" s="9" t="str">
        <x:v>Falco tinnunculus</x:v>
      </x:c>
      <x:c r="C81" s="9" t="n">
        <x:v>2</x:v>
      </x:c>
      <x:c r="D81" s="9" t="str">
        <x:v>2026-05-11</x:v>
      </x:c>
      <x:c r="E81" s="9" t="str">
        <x:v>Rømø</x:v>
      </x:c>
      <x:c r="F81" s="9" t="str">
        <x:v>✓ bewertet</x:v>
      </x:c>
    </x:row>
    <x:row r="82">
      <x:c r="A82" s="9" t="str">
        <x:v>Türkentaube</x:v>
      </x:c>
      <x:c r="B82" s="9" t="str">
        <x:v>Streptopelia decaocto</x:v>
      </x:c>
      <x:c r="C82" s="9" t="n">
        <x:v>1</x:v>
      </x:c>
      <x:c r="D82" s="9" t="str">
        <x:v>2026-05-11</x:v>
      </x:c>
      <x:c r="E82" s="9" t="str">
        <x:v>Rømø</x:v>
      </x:c>
      <x:c r="F82" s="9" t="str">
        <x:v>✓ bewertet</x:v>
      </x:c>
    </x:row>
    <x:row r="83">
      <x:c r="A83" s="9" t="str">
        <x:v>Waldlaubsänger</x:v>
      </x:c>
      <x:c r="B83" s="9" t="str">
        <x:v>Phylloscopus sibilatrix</x:v>
      </x:c>
      <x:c r="C83" s="9" t="n">
        <x:v>5</x:v>
      </x:c>
      <x:c r="D83" s="9" t="str">
        <x:v>2026-05-25</x:v>
      </x:c>
      <x:c r="E83" s="9" t="str">
        <x:v>Billetal</x:v>
      </x:c>
      <x:c r="F83" s="9" t="str">
        <x:v>✓ bewertet</x:v>
      </x:c>
    </x:row>
    <x:row r="84">
      <x:c r="A84" s="9" t="str">
        <x:v>Waldohreule</x:v>
      </x:c>
      <x:c r="B84" s="9" t="str">
        <x:v>Asio otus</x:v>
      </x:c>
      <x:c r="C84" s="9" t="n">
        <x:v>7</x:v>
      </x:c>
      <x:c r="D84" s="9" t="str">
        <x:v>2026-07-26</x:v>
      </x:c>
      <x:c r="E84" s="9" t="str">
        <x:v>Unnamed Road, Västra Götalands län</x:v>
      </x:c>
      <x:c r="F84" s="9" t="str">
        <x:v>✓ bewertet</x:v>
      </x:c>
    </x:row>
    <x:row r="85">
      <x:c r="A85" s="9" t="str">
        <x:v>Wiesenpieper</x:v>
      </x:c>
      <x:c r="B85" s="9" t="str">
        <x:v>Anthus pratensis</x:v>
      </x:c>
      <x:c r="C85" s="9" t="n">
        <x:v>3</x:v>
      </x:c>
      <x:c r="D85" s="9" t="str">
        <x:v>2026-05-14</x:v>
      </x:c>
      <x:c r="E85" s="9" t="str">
        <x:v>Rømø</x:v>
      </x:c>
      <x:c r="F85" s="9" t="str">
        <x:v>✓ bewertet</x:v>
      </x:c>
    </x:row>
    <x:row r="86">
      <x:c r="A86" s="9" t="str">
        <x:v>Wintergoldhähnchen</x:v>
      </x:c>
      <x:c r="B86" s="9" t="str">
        <x:v>Regulus regulus</x:v>
      </x:c>
      <x:c r="C86" s="9" t="n">
        <x:v>3</x:v>
      </x:c>
      <x:c r="D86" s="9" t="str">
        <x:v>2026-05-31</x:v>
      </x:c>
      <x:c r="E86" s="9" t="str">
        <x:v>Trittauer Heide</x:v>
      </x:c>
      <x:c r="F86" s="9" t="str">
        <x:v>✓ bewertet</x:v>
      </x:c>
    </x:row>
    <x:row r="87">
      <x:c r="A87" s="9" t="str">
        <x:v>Zaunkönig</x:v>
      </x:c>
      <x:c r="B87" s="9" t="str">
        <x:v>Troglodytes troglodytes</x:v>
      </x:c>
      <x:c r="C87" s="9" t="n">
        <x:v>1</x:v>
      </x:c>
      <x:c r="D87" s="9" t="str">
        <x:v>2026-05-11</x:v>
      </x:c>
      <x:c r="E87" s="9" t="str">
        <x:v>rømø</x:v>
      </x:c>
      <x:c r="F87" s="9" t="str">
        <x:v>✓ bewertet</x:v>
      </x:c>
    </x:row>
    <x:row r="88">
      <x:c r="A88" s="9" t="str">
        <x:v>Zilpzalp</x:v>
      </x:c>
      <x:c r="B88" s="9" t="str">
        <x:v>Phylloscopus collybita</x:v>
      </x:c>
      <x:c r="C88" s="9" t="n">
        <x:v>1</x:v>
      </x:c>
      <x:c r="D88" s="9" t="str">
        <x:v>2026-05-11</x:v>
      </x:c>
      <x:c r="E88" s="9" t="str">
        <x:v>Rømø</x:v>
      </x:c>
      <x:c r="F88" s="9" t="str">
        <x:v>✓ bewertet</x:v>
      </x:c>
    </x:row>
    <x:row r="91">
      <x:c r="A91" s="4" t="str">
        <x:v>Kennzahl</x:v>
      </x:c>
      <x:c r="B91" s="4" t="str">
        <x:v>Wert</x:v>
      </x:c>
      <x:c r="H91" s="4" t="str">
        <x:v>Punkte</x:v>
      </x:c>
      <x:c r="I91" s="4" t="str">
        <x:v>Anzahl Arten</x:v>
      </x:c>
    </x:row>
    <x:row r="92">
      <x:c r="A92" t="str">
        <x:v>Jahresarten</x:v>
      </x:c>
      <x:c r="B92" t="n">
        <x:f>COUNTA(A2:A88)</x:f>
        <x:v>87</x:v>
      </x:c>
      <x:c r="H92" t="n">
        <x:v>1</x:v>
      </x:c>
      <x:c r="I92" t="n">
        <x:f>COUNTIF($C$2:$C$88,H92)</x:f>
        <x:v>21</x:v>
      </x:c>
    </x:row>
    <x:row r="93">
      <x:c r="A93" t="str">
        <x:v>Bewertete Arten</x:v>
      </x:c>
      <x:c r="B93" t="n">
        <x:f>COUNTIF(F2:F88,"✓ bewertet")</x:f>
        <x:v>87</x:v>
      </x:c>
      <x:c r="H93" t="n">
        <x:v>2</x:v>
      </x:c>
      <x:c r="I93" t="n">
        <x:f>COUNTIF($C$2:$C$88,H93)</x:f>
        <x:v>21</x:v>
      </x:c>
    </x:row>
    <x:row r="94">
      <x:c r="A94" t="str">
        <x:v>Gesamtpunkte</x:v>
      </x:c>
      <x:c r="B94" t="n">
        <x:f>SUM(C2:C88)</x:f>
        <x:v>250</x:v>
      </x:c>
      <x:c r="H94" t="n">
        <x:v>3</x:v>
      </x:c>
      <x:c r="I94" t="n">
        <x:f>COUNTIF($C$2:$C$88,H94)</x:f>
        <x:v>20</x:v>
      </x:c>
    </x:row>
    <x:row r="95">
      <x:c r="H95" t="n">
        <x:v>4</x:v>
      </x:c>
      <x:c r="I95" t="n">
        <x:f>COUNTIF($C$2:$C$88,H95)</x:f>
        <x:v>7</x:v>
      </x:c>
    </x:row>
    <x:row r="96">
      <x:c r="H96" t="n">
        <x:v>5</x:v>
      </x:c>
      <x:c r="I96" t="n">
        <x:f>COUNTIF($C$2:$C$88,H96)</x:f>
        <x:v>11</x:v>
      </x:c>
    </x:row>
    <x:row r="97">
      <x:c r="H97" t="n">
        <x:v>6</x:v>
      </x:c>
      <x:c r="I97" t="n">
        <x:f>COUNTIF($C$2:$C$88,H97)</x:f>
        <x:v>5</x:v>
      </x:c>
    </x:row>
    <x:row r="98">
      <x:c r="H98" t="n">
        <x:v>7</x:v>
      </x:c>
      <x:c r="I98" t="n">
        <x:f>COUNTIF($C$2:$C$88,H98)</x:f>
        <x:v>2</x:v>
      </x:c>
    </x:row>
    <x:row r="99">
      <x:c r="H99" t="n">
        <x:v>8</x:v>
      </x:c>
      <x:c r="I99" t="n">
        <x:f>COUNTIF($C$2:$C$88,H99)</x:f>
        <x:v>0</x:v>
      </x:c>
    </x:row>
    <x:row r="100">
      <x:c r="H100" t="n">
        <x:v>9</x:v>
      </x:c>
      <x:c r="I100" t="n">
        <x:f>COUNTIF($C$2:$C$88,H100)</x:f>
        <x:v>0</x:v>
      </x:c>
    </x:row>
    <x:row r="101">
      <x:c r="H101" t="n">
        <x:v>10</x:v>
      </x:c>
      <x:c r="I101" t="n">
        <x:f>COUNTIF($C$2:$C$88,H101)</x:f>
        <x:v>0</x:v>
      </x:c>
    </x:row>
    <x:row r="102">
      <x:c r="H102" t="n">
        <x:v>15</x:v>
      </x:c>
      <x:c r="I102" t="n">
        <x:f>COUNTIF($C$2:$C$88,H102)</x:f>
        <x:v>0</x:v>
      </x:c>
    </x:row>
  </x:sheetData>
  <x:pageMargins left="0.7" right="0.7" top="0.75" bottom="0.75" header="0.3" footer="0.3"/>
  <x:drawing xmlns:r="http://schemas.openxmlformats.org/officeDocument/2006/relationships" r:id="Rfbc5e3493c7c49c8"/>
  <x:tableParts count="1">
    <x:tablePart xmlns:r="http://schemas.openxmlformats.org/officeDocument/2006/relationships" r:id="R765316537e494993"/>
  </x:tableParts>
</x:worksheet>
</file>